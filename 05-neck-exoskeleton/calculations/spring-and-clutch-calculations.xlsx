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CADS\Portfolio\Academic\NECKEXO_DOP\Doc\"/>
    </mc:Choice>
  </mc:AlternateContent>
  <xr:revisionPtr revIDLastSave="0" documentId="13_ncr:1_{4DE36615-DCA8-4B2A-BF1A-3722A204EE98}" xr6:coauthVersionLast="47" xr6:coauthVersionMax="47" xr10:uidLastSave="{00000000-0000-0000-0000-000000000000}"/>
  <bookViews>
    <workbookView xWindow="-108" yWindow="-108" windowWidth="23256" windowHeight="12456" xr2:uid="{2CDDF69C-B311-4135-AB25-3602C3F60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R2" i="1"/>
  <c r="Q2" i="1"/>
  <c r="N3" i="1"/>
  <c r="O3" i="1"/>
  <c r="P3" i="1"/>
  <c r="N4" i="1"/>
  <c r="O4" i="1"/>
  <c r="P4" i="1"/>
  <c r="N5" i="1"/>
  <c r="O5" i="1"/>
  <c r="P5" i="1"/>
  <c r="N6" i="1"/>
  <c r="O6" i="1"/>
  <c r="P6" i="1"/>
  <c r="N7" i="1"/>
  <c r="O7" i="1"/>
  <c r="P7" i="1"/>
  <c r="N8" i="1"/>
  <c r="O8" i="1"/>
  <c r="P8" i="1"/>
  <c r="N9" i="1"/>
  <c r="O9" i="1"/>
  <c r="P9" i="1"/>
  <c r="N10" i="1"/>
  <c r="O10" i="1"/>
  <c r="P10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8" i="1"/>
  <c r="O38" i="1"/>
  <c r="P38" i="1"/>
  <c r="N39" i="1"/>
  <c r="O39" i="1"/>
  <c r="P39" i="1"/>
  <c r="N40" i="1"/>
  <c r="O40" i="1"/>
  <c r="P40" i="1"/>
  <c r="N41" i="1"/>
  <c r="O41" i="1"/>
  <c r="P41" i="1"/>
  <c r="N42" i="1"/>
  <c r="O42" i="1"/>
  <c r="P42" i="1"/>
  <c r="N43" i="1"/>
  <c r="O43" i="1"/>
  <c r="P43" i="1"/>
  <c r="N44" i="1"/>
  <c r="O44" i="1"/>
  <c r="P44" i="1"/>
  <c r="N45" i="1"/>
  <c r="O45" i="1"/>
  <c r="P45" i="1"/>
  <c r="N46" i="1"/>
  <c r="O46" i="1"/>
  <c r="P46" i="1"/>
  <c r="N47" i="1"/>
  <c r="O47" i="1"/>
  <c r="P47" i="1"/>
  <c r="N48" i="1"/>
  <c r="O48" i="1"/>
  <c r="P48" i="1"/>
  <c r="N49" i="1"/>
  <c r="O49" i="1"/>
  <c r="P49" i="1"/>
  <c r="N50" i="1"/>
  <c r="O50" i="1"/>
  <c r="P50" i="1"/>
  <c r="N51" i="1"/>
  <c r="O51" i="1"/>
  <c r="P51" i="1"/>
  <c r="N52" i="1"/>
  <c r="O52" i="1"/>
  <c r="P52" i="1"/>
  <c r="N53" i="1"/>
  <c r="O53" i="1"/>
  <c r="P53" i="1"/>
  <c r="N54" i="1"/>
  <c r="O54" i="1"/>
  <c r="P54" i="1"/>
  <c r="N55" i="1"/>
  <c r="O55" i="1"/>
  <c r="P55" i="1"/>
  <c r="N56" i="1"/>
  <c r="O56" i="1"/>
  <c r="P56" i="1"/>
  <c r="N57" i="1"/>
  <c r="O57" i="1"/>
  <c r="P57" i="1"/>
  <c r="N58" i="1"/>
  <c r="O58" i="1"/>
  <c r="P58" i="1"/>
  <c r="N59" i="1"/>
  <c r="O59" i="1"/>
  <c r="P59" i="1"/>
  <c r="N60" i="1"/>
  <c r="O60" i="1"/>
  <c r="P60" i="1"/>
  <c r="N61" i="1"/>
  <c r="O61" i="1"/>
  <c r="P61" i="1"/>
  <c r="N62" i="1"/>
  <c r="O62" i="1"/>
  <c r="P62" i="1"/>
  <c r="N63" i="1"/>
  <c r="O63" i="1"/>
  <c r="P63" i="1"/>
  <c r="N64" i="1"/>
  <c r="O64" i="1"/>
  <c r="P64" i="1"/>
  <c r="N65" i="1"/>
  <c r="O65" i="1"/>
  <c r="P65" i="1"/>
  <c r="N66" i="1"/>
  <c r="O66" i="1"/>
  <c r="P66" i="1"/>
  <c r="N67" i="1"/>
  <c r="O67" i="1"/>
  <c r="P67" i="1"/>
  <c r="N68" i="1"/>
  <c r="O68" i="1"/>
  <c r="P68" i="1"/>
  <c r="P2" i="1"/>
  <c r="O2" i="1"/>
  <c r="N2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38" i="1"/>
  <c r="L39" i="1"/>
  <c r="L31" i="1"/>
  <c r="L32" i="1"/>
  <c r="L33" i="1"/>
  <c r="L34" i="1"/>
  <c r="L35" i="1"/>
  <c r="L3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2" i="1"/>
  <c r="AD38" i="1"/>
  <c r="AE38" i="1"/>
  <c r="AD39" i="1"/>
  <c r="AE39" i="1"/>
  <c r="AD40" i="1"/>
  <c r="AE40" i="1"/>
  <c r="AD41" i="1"/>
  <c r="AE41" i="1"/>
  <c r="AD42" i="1"/>
  <c r="AE42" i="1"/>
  <c r="AD43" i="1"/>
  <c r="C43" i="1" s="1"/>
  <c r="AE43" i="1"/>
  <c r="AD44" i="1"/>
  <c r="C44" i="1" s="1"/>
  <c r="AE44" i="1"/>
  <c r="AD45" i="1"/>
  <c r="AE45" i="1"/>
  <c r="AD46" i="1"/>
  <c r="AE46" i="1"/>
  <c r="AD47" i="1"/>
  <c r="AE47" i="1"/>
  <c r="AD48" i="1"/>
  <c r="AE48" i="1"/>
  <c r="AD49" i="1"/>
  <c r="C49" i="1" s="1"/>
  <c r="AE49" i="1"/>
  <c r="AD50" i="1"/>
  <c r="C50" i="1" s="1"/>
  <c r="AE50" i="1"/>
  <c r="AD51" i="1"/>
  <c r="C51" i="1" s="1"/>
  <c r="AE51" i="1"/>
  <c r="AD52" i="1"/>
  <c r="C52" i="1" s="1"/>
  <c r="AE52" i="1"/>
  <c r="AD53" i="1"/>
  <c r="AE53" i="1"/>
  <c r="AD54" i="1"/>
  <c r="AE54" i="1"/>
  <c r="AD55" i="1"/>
  <c r="AE55" i="1"/>
  <c r="C55" i="1" s="1"/>
  <c r="AD56" i="1"/>
  <c r="C56" i="1" s="1"/>
  <c r="AE56" i="1"/>
  <c r="AD57" i="1"/>
  <c r="C57" i="1" s="1"/>
  <c r="AE57" i="1"/>
  <c r="AD58" i="1"/>
  <c r="C58" i="1" s="1"/>
  <c r="AE58" i="1"/>
  <c r="AD59" i="1"/>
  <c r="C59" i="1" s="1"/>
  <c r="AE59" i="1"/>
  <c r="AD60" i="1"/>
  <c r="C60" i="1" s="1"/>
  <c r="AE60" i="1"/>
  <c r="AD61" i="1"/>
  <c r="AE61" i="1"/>
  <c r="AD62" i="1"/>
  <c r="AE62" i="1"/>
  <c r="AD63" i="1"/>
  <c r="AE63" i="1"/>
  <c r="AD64" i="1"/>
  <c r="AE64" i="1"/>
  <c r="AD65" i="1"/>
  <c r="AE65" i="1"/>
  <c r="AD66" i="1"/>
  <c r="AE66" i="1"/>
  <c r="AD67" i="1"/>
  <c r="C67" i="1" s="1"/>
  <c r="AE67" i="1"/>
  <c r="AD68" i="1"/>
  <c r="C68" i="1" s="1"/>
  <c r="AE68" i="1"/>
  <c r="E38" i="1"/>
  <c r="E39" i="1"/>
  <c r="E40" i="1"/>
  <c r="E41" i="1"/>
  <c r="E42" i="1"/>
  <c r="E43" i="1"/>
  <c r="E44" i="1"/>
  <c r="D45" i="1"/>
  <c r="E45" i="1"/>
  <c r="E46" i="1"/>
  <c r="E47" i="1"/>
  <c r="E48" i="1"/>
  <c r="E49" i="1"/>
  <c r="E50" i="1"/>
  <c r="E51" i="1"/>
  <c r="E52" i="1"/>
  <c r="D53" i="1"/>
  <c r="E53" i="1"/>
  <c r="E54" i="1"/>
  <c r="E55" i="1"/>
  <c r="E56" i="1"/>
  <c r="E57" i="1"/>
  <c r="E58" i="1"/>
  <c r="E59" i="1"/>
  <c r="E60" i="1"/>
  <c r="D61" i="1"/>
  <c r="E61" i="1"/>
  <c r="E62" i="1"/>
  <c r="E63" i="1"/>
  <c r="E64" i="1"/>
  <c r="E65" i="1"/>
  <c r="E66" i="1"/>
  <c r="E67" i="1"/>
  <c r="E68" i="1"/>
  <c r="H38" i="1"/>
  <c r="K38" i="1" s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M45" i="1"/>
  <c r="H46" i="1"/>
  <c r="I46" i="1"/>
  <c r="J46" i="1"/>
  <c r="K46" i="1"/>
  <c r="M46" i="1"/>
  <c r="H47" i="1"/>
  <c r="K47" i="1" s="1"/>
  <c r="I47" i="1"/>
  <c r="J47" i="1"/>
  <c r="I48" i="1"/>
  <c r="J48" i="1"/>
  <c r="M48" i="1"/>
  <c r="I49" i="1"/>
  <c r="J49" i="1"/>
  <c r="I50" i="1"/>
  <c r="J50" i="1"/>
  <c r="I51" i="1"/>
  <c r="J51" i="1"/>
  <c r="I52" i="1"/>
  <c r="J52" i="1"/>
  <c r="H53" i="1"/>
  <c r="K53" i="1" s="1"/>
  <c r="I53" i="1"/>
  <c r="J53" i="1"/>
  <c r="I54" i="1"/>
  <c r="J54" i="1"/>
  <c r="M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M61" i="1"/>
  <c r="H62" i="1"/>
  <c r="K62" i="1" s="1"/>
  <c r="I62" i="1"/>
  <c r="J62" i="1"/>
  <c r="I63" i="1"/>
  <c r="J63" i="1"/>
  <c r="I64" i="1"/>
  <c r="J64" i="1"/>
  <c r="M64" i="1"/>
  <c r="I65" i="1"/>
  <c r="J65" i="1"/>
  <c r="I66" i="1"/>
  <c r="J66" i="1"/>
  <c r="I67" i="1"/>
  <c r="J67" i="1"/>
  <c r="I68" i="1"/>
  <c r="J68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C47" i="1"/>
  <c r="B47" i="1" s="1"/>
  <c r="D47" i="1" s="1"/>
  <c r="C48" i="1"/>
  <c r="B48" i="1" s="1"/>
  <c r="D48" i="1" s="1"/>
  <c r="C38" i="1"/>
  <c r="B38" i="1" s="1"/>
  <c r="D38" i="1" s="1"/>
  <c r="C39" i="1"/>
  <c r="B39" i="1" s="1"/>
  <c r="D39" i="1" s="1"/>
  <c r="C40" i="1"/>
  <c r="B40" i="1" s="1"/>
  <c r="D40" i="1" s="1"/>
  <c r="C41" i="1"/>
  <c r="B41" i="1" s="1"/>
  <c r="D41" i="1" s="1"/>
  <c r="C42" i="1"/>
  <c r="B42" i="1" s="1"/>
  <c r="D42" i="1" s="1"/>
  <c r="C45" i="1"/>
  <c r="B45" i="1" s="1"/>
  <c r="C46" i="1"/>
  <c r="B46" i="1" s="1"/>
  <c r="D46" i="1" s="1"/>
  <c r="C53" i="1"/>
  <c r="B53" i="1" s="1"/>
  <c r="C54" i="1"/>
  <c r="B54" i="1" s="1"/>
  <c r="D54" i="1" s="1"/>
  <c r="C61" i="1"/>
  <c r="B61" i="1" s="1"/>
  <c r="C62" i="1"/>
  <c r="B62" i="1" s="1"/>
  <c r="D62" i="1" s="1"/>
  <c r="C63" i="1"/>
  <c r="B63" i="1" s="1"/>
  <c r="C64" i="1"/>
  <c r="B64" i="1" s="1"/>
  <c r="D64" i="1" s="1"/>
  <c r="C65" i="1"/>
  <c r="H65" i="1" s="1"/>
  <c r="C66" i="1"/>
  <c r="B66" i="1" s="1"/>
  <c r="Z5" i="1"/>
  <c r="Z6" i="1"/>
  <c r="B52" i="1" l="1"/>
  <c r="H52" i="1"/>
  <c r="K52" i="1" s="1"/>
  <c r="B43" i="1"/>
  <c r="H43" i="1"/>
  <c r="K43" i="1" s="1"/>
  <c r="B60" i="1"/>
  <c r="H60" i="1"/>
  <c r="K60" i="1" s="1"/>
  <c r="B67" i="1"/>
  <c r="H67" i="1"/>
  <c r="K67" i="1" s="1"/>
  <c r="B50" i="1"/>
  <c r="H50" i="1"/>
  <c r="K50" i="1" s="1"/>
  <c r="B59" i="1"/>
  <c r="H59" i="1"/>
  <c r="K59" i="1" s="1"/>
  <c r="M63" i="1"/>
  <c r="D63" i="1"/>
  <c r="B58" i="1"/>
  <c r="H58" i="1"/>
  <c r="K58" i="1" s="1"/>
  <c r="B44" i="1"/>
  <c r="H44" i="1"/>
  <c r="K44" i="1" s="1"/>
  <c r="B51" i="1"/>
  <c r="H51" i="1"/>
  <c r="K51" i="1" s="1"/>
  <c r="B49" i="1"/>
  <c r="H49" i="1"/>
  <c r="K49" i="1" s="1"/>
  <c r="B56" i="1"/>
  <c r="H56" i="1"/>
  <c r="K56" i="1" s="1"/>
  <c r="B68" i="1"/>
  <c r="H68" i="1"/>
  <c r="K68" i="1" s="1"/>
  <c r="B57" i="1"/>
  <c r="H57" i="1"/>
  <c r="K57" i="1" s="1"/>
  <c r="B55" i="1"/>
  <c r="H55" i="1"/>
  <c r="K55" i="1" s="1"/>
  <c r="M66" i="1"/>
  <c r="H40" i="1"/>
  <c r="K40" i="1" s="1"/>
  <c r="D66" i="1"/>
  <c r="M40" i="1"/>
  <c r="H63" i="1"/>
  <c r="K63" i="1" s="1"/>
  <c r="B65" i="1"/>
  <c r="M62" i="1"/>
  <c r="H48" i="1"/>
  <c r="K48" i="1" s="1"/>
  <c r="H42" i="1"/>
  <c r="K42" i="1" s="1"/>
  <c r="H39" i="1"/>
  <c r="K39" i="1" s="1"/>
  <c r="M39" i="1"/>
  <c r="H54" i="1"/>
  <c r="K54" i="1" s="1"/>
  <c r="M47" i="1"/>
  <c r="M41" i="1"/>
  <c r="M38" i="1"/>
  <c r="H64" i="1"/>
  <c r="K64" i="1" s="1"/>
  <c r="H61" i="1"/>
  <c r="K61" i="1" s="1"/>
  <c r="M42" i="1"/>
  <c r="H66" i="1"/>
  <c r="K66" i="1" s="1"/>
  <c r="M53" i="1"/>
  <c r="H45" i="1"/>
  <c r="K45" i="1" s="1"/>
  <c r="H41" i="1"/>
  <c r="K41" i="1" s="1"/>
  <c r="E31" i="1"/>
  <c r="E32" i="1"/>
  <c r="E33" i="1"/>
  <c r="E34" i="1"/>
  <c r="E35" i="1"/>
  <c r="E3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  <c r="F5" i="1"/>
  <c r="G5" i="1" s="1"/>
  <c r="I5" i="1" s="1"/>
  <c r="F6" i="1"/>
  <c r="G6" i="1" s="1"/>
  <c r="I6" i="1" s="1"/>
  <c r="F7" i="1"/>
  <c r="G7" i="1" s="1"/>
  <c r="I7" i="1" s="1"/>
  <c r="F8" i="1"/>
  <c r="G8" i="1" s="1"/>
  <c r="I8" i="1" s="1"/>
  <c r="AD8" i="1" s="1"/>
  <c r="F9" i="1"/>
  <c r="G9" i="1" s="1"/>
  <c r="I9" i="1" s="1"/>
  <c r="F10" i="1"/>
  <c r="G10" i="1" s="1"/>
  <c r="I10" i="1" s="1"/>
  <c r="F11" i="1"/>
  <c r="G11" i="1" s="1"/>
  <c r="I11" i="1" s="1"/>
  <c r="F12" i="1"/>
  <c r="G12" i="1" s="1"/>
  <c r="I12" i="1" s="1"/>
  <c r="F13" i="1"/>
  <c r="G13" i="1" s="1"/>
  <c r="I13" i="1" s="1"/>
  <c r="F14" i="1"/>
  <c r="G14" i="1" s="1"/>
  <c r="I14" i="1" s="1"/>
  <c r="F15" i="1"/>
  <c r="G15" i="1" s="1"/>
  <c r="I15" i="1" s="1"/>
  <c r="F16" i="1"/>
  <c r="G16" i="1" s="1"/>
  <c r="I16" i="1" s="1"/>
  <c r="F17" i="1"/>
  <c r="G17" i="1" s="1"/>
  <c r="I17" i="1" s="1"/>
  <c r="F18" i="1"/>
  <c r="G18" i="1" s="1"/>
  <c r="I18" i="1" s="1"/>
  <c r="F19" i="1"/>
  <c r="G19" i="1" s="1"/>
  <c r="I19" i="1" s="1"/>
  <c r="F20" i="1"/>
  <c r="G20" i="1" s="1"/>
  <c r="I20" i="1" s="1"/>
  <c r="F21" i="1"/>
  <c r="G21" i="1" s="1"/>
  <c r="I21" i="1" s="1"/>
  <c r="F22" i="1"/>
  <c r="G22" i="1" s="1"/>
  <c r="I22" i="1" s="1"/>
  <c r="F23" i="1"/>
  <c r="G23" i="1" s="1"/>
  <c r="F24" i="1"/>
  <c r="G24" i="1" s="1"/>
  <c r="I24" i="1" s="1"/>
  <c r="AD24" i="1" s="1"/>
  <c r="F25" i="1"/>
  <c r="G25" i="1" s="1"/>
  <c r="I25" i="1" s="1"/>
  <c r="AD25" i="1" s="1"/>
  <c r="F26" i="1"/>
  <c r="G26" i="1" s="1"/>
  <c r="F27" i="1"/>
  <c r="G27" i="1" s="1"/>
  <c r="I27" i="1" s="1"/>
  <c r="F28" i="1"/>
  <c r="G28" i="1" s="1"/>
  <c r="I28" i="1" s="1"/>
  <c r="F29" i="1"/>
  <c r="G29" i="1" s="1"/>
  <c r="I29" i="1" s="1"/>
  <c r="F30" i="1"/>
  <c r="G30" i="1" s="1"/>
  <c r="I30" i="1" s="1"/>
  <c r="F31" i="1"/>
  <c r="G31" i="1" s="1"/>
  <c r="I31" i="1" s="1"/>
  <c r="F32" i="1"/>
  <c r="G32" i="1" s="1"/>
  <c r="I32" i="1" s="1"/>
  <c r="F33" i="1"/>
  <c r="G33" i="1" s="1"/>
  <c r="I33" i="1" s="1"/>
  <c r="F34" i="1"/>
  <c r="G34" i="1" s="1"/>
  <c r="F35" i="1"/>
  <c r="G35" i="1" s="1"/>
  <c r="I35" i="1" s="1"/>
  <c r="F36" i="1"/>
  <c r="G36" i="1" s="1"/>
  <c r="I36" i="1" s="1"/>
  <c r="F4" i="1"/>
  <c r="G4" i="1" s="1"/>
  <c r="I4" i="1" s="1"/>
  <c r="F3" i="1"/>
  <c r="G3" i="1" s="1"/>
  <c r="I3" i="1" s="1"/>
  <c r="F2" i="1"/>
  <c r="G2" i="1" s="1"/>
  <c r="Z7" i="1"/>
  <c r="Z8" i="1"/>
  <c r="AA4" i="1" s="1"/>
  <c r="Z4" i="1"/>
  <c r="D55" i="1" l="1"/>
  <c r="M55" i="1"/>
  <c r="M65" i="1"/>
  <c r="D65" i="1"/>
  <c r="M57" i="1"/>
  <c r="D57" i="1"/>
  <c r="M68" i="1"/>
  <c r="D68" i="1"/>
  <c r="M67" i="1"/>
  <c r="D67" i="1"/>
  <c r="D51" i="1"/>
  <c r="M51" i="1"/>
  <c r="D60" i="1"/>
  <c r="M60" i="1"/>
  <c r="K65" i="1"/>
  <c r="D49" i="1"/>
  <c r="M49" i="1"/>
  <c r="M56" i="1"/>
  <c r="D56" i="1"/>
  <c r="M44" i="1"/>
  <c r="D44" i="1"/>
  <c r="D43" i="1"/>
  <c r="M43" i="1"/>
  <c r="M50" i="1"/>
  <c r="D50" i="1"/>
  <c r="D59" i="1"/>
  <c r="M59" i="1"/>
  <c r="M58" i="1"/>
  <c r="D58" i="1"/>
  <c r="D52" i="1"/>
  <c r="M52" i="1"/>
  <c r="AD9" i="1"/>
  <c r="I23" i="1"/>
  <c r="AD23" i="1" s="1"/>
  <c r="I26" i="1"/>
  <c r="AD26" i="1" s="1"/>
  <c r="I34" i="1"/>
  <c r="AE34" i="1" s="1"/>
  <c r="AD22" i="1"/>
  <c r="AE22" i="1"/>
  <c r="I2" i="1"/>
  <c r="AD2" i="1" s="1"/>
  <c r="AD3" i="1"/>
  <c r="AE3" i="1"/>
  <c r="AD6" i="1"/>
  <c r="AE6" i="1"/>
  <c r="AD4" i="1"/>
  <c r="AE4" i="1"/>
  <c r="AD21" i="1"/>
  <c r="AE21" i="1"/>
  <c r="AD5" i="1"/>
  <c r="AE5" i="1"/>
  <c r="AD36" i="1"/>
  <c r="AE36" i="1"/>
  <c r="AD20" i="1"/>
  <c r="AE20" i="1"/>
  <c r="AD35" i="1"/>
  <c r="AE35" i="1"/>
  <c r="AD19" i="1"/>
  <c r="AE19" i="1"/>
  <c r="AE18" i="1"/>
  <c r="AD18" i="1"/>
  <c r="AD14" i="1"/>
  <c r="AE14" i="1"/>
  <c r="AD29" i="1"/>
  <c r="AE29" i="1"/>
  <c r="AD13" i="1"/>
  <c r="AE13" i="1"/>
  <c r="AD32" i="1"/>
  <c r="AE32" i="1"/>
  <c r="AE28" i="1"/>
  <c r="AD28" i="1"/>
  <c r="AE12" i="1"/>
  <c r="AD12" i="1"/>
  <c r="AD27" i="1"/>
  <c r="AE27" i="1"/>
  <c r="AD11" i="1"/>
  <c r="AE11" i="1"/>
  <c r="AD10" i="1"/>
  <c r="AE10" i="1"/>
  <c r="AD15" i="1"/>
  <c r="AE15" i="1"/>
  <c r="AD16" i="1"/>
  <c r="AE16" i="1"/>
  <c r="AD17" i="1"/>
  <c r="AE17" i="1"/>
  <c r="AD30" i="1"/>
  <c r="AE30" i="1"/>
  <c r="AD33" i="1"/>
  <c r="AE33" i="1"/>
  <c r="AD31" i="1"/>
  <c r="AE31" i="1"/>
  <c r="AD7" i="1"/>
  <c r="AE7" i="1"/>
  <c r="AE25" i="1"/>
  <c r="C25" i="1" s="1"/>
  <c r="AE9" i="1"/>
  <c r="AE24" i="1"/>
  <c r="C24" i="1" s="1"/>
  <c r="AE8" i="1"/>
  <c r="C8" i="1" s="1"/>
  <c r="C3" i="1" l="1"/>
  <c r="C4" i="1"/>
  <c r="AE23" i="1"/>
  <c r="C23" i="1" s="1"/>
  <c r="AE26" i="1"/>
  <c r="C9" i="1"/>
  <c r="C28" i="1"/>
  <c r="C26" i="1"/>
  <c r="H26" i="1" s="1"/>
  <c r="AE2" i="1"/>
  <c r="C2" i="1" s="1"/>
  <c r="AD34" i="1"/>
  <c r="C34" i="1" s="1"/>
  <c r="C18" i="1"/>
  <c r="B18" i="1" s="1"/>
  <c r="C36" i="1"/>
  <c r="C5" i="1"/>
  <c r="C19" i="1"/>
  <c r="C35" i="1"/>
  <c r="C6" i="1"/>
  <c r="C21" i="1"/>
  <c r="C20" i="1"/>
  <c r="C22" i="1"/>
  <c r="H25" i="1"/>
  <c r="B25" i="1"/>
  <c r="H9" i="1"/>
  <c r="B9" i="1"/>
  <c r="B23" i="1"/>
  <c r="H23" i="1"/>
  <c r="K23" i="1" s="1"/>
  <c r="C33" i="1"/>
  <c r="C10" i="1"/>
  <c r="C11" i="1"/>
  <c r="B24" i="1"/>
  <c r="H24" i="1"/>
  <c r="K24" i="1" s="1"/>
  <c r="C27" i="1"/>
  <c r="C32" i="1"/>
  <c r="H8" i="1"/>
  <c r="B8" i="1"/>
  <c r="C30" i="1"/>
  <c r="C14" i="1"/>
  <c r="C7" i="1"/>
  <c r="C17" i="1"/>
  <c r="C29" i="1"/>
  <c r="H28" i="1"/>
  <c r="B28" i="1"/>
  <c r="C31" i="1"/>
  <c r="C13" i="1"/>
  <c r="C16" i="1"/>
  <c r="C15" i="1"/>
  <c r="C12" i="1"/>
  <c r="H18" i="1" l="1"/>
  <c r="B2" i="1"/>
  <c r="K8" i="1"/>
  <c r="H2" i="1"/>
  <c r="B26" i="1"/>
  <c r="K9" i="1"/>
  <c r="D26" i="1"/>
  <c r="M26" i="1"/>
  <c r="K26" i="1"/>
  <c r="D25" i="1"/>
  <c r="M25" i="1"/>
  <c r="D2" i="1"/>
  <c r="M2" i="1"/>
  <c r="K25" i="1"/>
  <c r="D28" i="1"/>
  <c r="M28" i="1"/>
  <c r="D24" i="1"/>
  <c r="M24" i="1"/>
  <c r="D18" i="1"/>
  <c r="M18" i="1"/>
  <c r="K18" i="1"/>
  <c r="D23" i="1"/>
  <c r="M23" i="1"/>
  <c r="K2" i="1"/>
  <c r="D8" i="1"/>
  <c r="M8" i="1"/>
  <c r="K28" i="1"/>
  <c r="D9" i="1"/>
  <c r="M9" i="1"/>
  <c r="H22" i="1"/>
  <c r="B22" i="1"/>
  <c r="B4" i="1"/>
  <c r="H4" i="1"/>
  <c r="B21" i="1"/>
  <c r="H21" i="1"/>
  <c r="K21" i="1" s="1"/>
  <c r="H6" i="1"/>
  <c r="B6" i="1"/>
  <c r="B3" i="1"/>
  <c r="H3" i="1"/>
  <c r="K3" i="1" s="1"/>
  <c r="B20" i="1"/>
  <c r="H20" i="1"/>
  <c r="K20" i="1" s="1"/>
  <c r="B35" i="1"/>
  <c r="H35" i="1"/>
  <c r="K35" i="1" s="1"/>
  <c r="H19" i="1"/>
  <c r="B19" i="1"/>
  <c r="B5" i="1"/>
  <c r="H5" i="1"/>
  <c r="B36" i="1"/>
  <c r="H36" i="1"/>
  <c r="H12" i="1"/>
  <c r="B12" i="1"/>
  <c r="H34" i="1"/>
  <c r="B34" i="1"/>
  <c r="H27" i="1"/>
  <c r="B27" i="1"/>
  <c r="B16" i="1"/>
  <c r="H16" i="1"/>
  <c r="K16" i="1" s="1"/>
  <c r="H13" i="1"/>
  <c r="B13" i="1"/>
  <c r="B10" i="1"/>
  <c r="H10" i="1"/>
  <c r="B17" i="1"/>
  <c r="H17" i="1"/>
  <c r="B7" i="1"/>
  <c r="H7" i="1"/>
  <c r="B15" i="1"/>
  <c r="H15" i="1"/>
  <c r="H32" i="1"/>
  <c r="B32" i="1"/>
  <c r="H31" i="1"/>
  <c r="B31" i="1"/>
  <c r="B11" i="1"/>
  <c r="H11" i="1"/>
  <c r="K11" i="1" s="1"/>
  <c r="H33" i="1"/>
  <c r="B33" i="1"/>
  <c r="H29" i="1"/>
  <c r="B29" i="1"/>
  <c r="H14" i="1"/>
  <c r="B14" i="1"/>
  <c r="H30" i="1"/>
  <c r="B30" i="1"/>
  <c r="L30" i="1" s="1"/>
  <c r="K15" i="1" l="1"/>
  <c r="K7" i="1"/>
  <c r="K36" i="1"/>
  <c r="K4" i="1"/>
  <c r="K32" i="1"/>
  <c r="K22" i="1"/>
  <c r="K14" i="1"/>
  <c r="K10" i="1"/>
  <c r="K19" i="1"/>
  <c r="K33" i="1"/>
  <c r="D16" i="1"/>
  <c r="M16" i="1"/>
  <c r="D27" i="1"/>
  <c r="M27" i="1"/>
  <c r="D19" i="1"/>
  <c r="M19" i="1"/>
  <c r="D13" i="1"/>
  <c r="M13" i="1"/>
  <c r="K31" i="1"/>
  <c r="D3" i="1"/>
  <c r="M3" i="1"/>
  <c r="D32" i="1"/>
  <c r="M32" i="1"/>
  <c r="D29" i="1"/>
  <c r="M29" i="1"/>
  <c r="D10" i="1"/>
  <c r="M10" i="1"/>
  <c r="D33" i="1"/>
  <c r="M33" i="1"/>
  <c r="K13" i="1"/>
  <c r="D6" i="1"/>
  <c r="M6" i="1"/>
  <c r="K34" i="1"/>
  <c r="D30" i="1"/>
  <c r="M30" i="1"/>
  <c r="K29" i="1"/>
  <c r="D11" i="1"/>
  <c r="M11" i="1"/>
  <c r="D20" i="1"/>
  <c r="M20" i="1"/>
  <c r="D31" i="1"/>
  <c r="M31" i="1"/>
  <c r="K12" i="1"/>
  <c r="D36" i="1"/>
  <c r="M36" i="1"/>
  <c r="D4" i="1"/>
  <c r="M4" i="1"/>
  <c r="D34" i="1"/>
  <c r="M34" i="1"/>
  <c r="K6" i="1"/>
  <c r="D12" i="1"/>
  <c r="M12" i="1"/>
  <c r="K30" i="1"/>
  <c r="D7" i="1"/>
  <c r="M7" i="1"/>
  <c r="D14" i="1"/>
  <c r="M14" i="1"/>
  <c r="K17" i="1"/>
  <c r="K5" i="1"/>
  <c r="D22" i="1"/>
  <c r="M22" i="1"/>
  <c r="D35" i="1"/>
  <c r="M35" i="1"/>
  <c r="K27" i="1"/>
  <c r="D15" i="1"/>
  <c r="M15" i="1"/>
  <c r="D21" i="1"/>
  <c r="M21" i="1"/>
  <c r="D17" i="1"/>
  <c r="M17" i="1"/>
  <c r="D5" i="1"/>
  <c r="M5" i="1"/>
</calcChain>
</file>

<file path=xl/sharedStrings.xml><?xml version="1.0" encoding="utf-8"?>
<sst xmlns="http://schemas.openxmlformats.org/spreadsheetml/2006/main" count="49" uniqueCount="49">
  <si>
    <t>d</t>
  </si>
  <si>
    <t>D</t>
  </si>
  <si>
    <t>C</t>
  </si>
  <si>
    <t>OD</t>
  </si>
  <si>
    <t>Na</t>
  </si>
  <si>
    <t>Lo</t>
  </si>
  <si>
    <t>ns</t>
  </si>
  <si>
    <t>4&lt;C&lt;12</t>
  </si>
  <si>
    <t>3&lt;Na&lt;15</t>
  </si>
  <si>
    <t>EL&gt;0.15</t>
  </si>
  <si>
    <t>ns&gt;1.2</t>
  </si>
  <si>
    <t>material-music wire(high C steel)</t>
  </si>
  <si>
    <t>both end is assumed closed</t>
  </si>
  <si>
    <t>https://www.centuryspring.com/resources/spring-end-types</t>
  </si>
  <si>
    <t>Assumption</t>
  </si>
  <si>
    <t>Reason</t>
  </si>
  <si>
    <t>normally used for springs</t>
  </si>
  <si>
    <t>Spring supported between flat parallel surfaces (fixed ends)</t>
  </si>
  <si>
    <t>A</t>
  </si>
  <si>
    <t>Neutral</t>
  </si>
  <si>
    <t>force(lbs)</t>
  </si>
  <si>
    <t>force(N)</t>
  </si>
  <si>
    <t>Fmax</t>
  </si>
  <si>
    <t>Assuming robust linearity as 0.15</t>
  </si>
  <si>
    <t>Shingle</t>
  </si>
  <si>
    <t>design</t>
  </si>
  <si>
    <t>EL</t>
  </si>
  <si>
    <t>Kb</t>
  </si>
  <si>
    <t>TERM 1</t>
  </si>
  <si>
    <t>TERM 2</t>
  </si>
  <si>
    <t>Sut(MPa)</t>
  </si>
  <si>
    <t>Sxy(MPa)</t>
  </si>
  <si>
    <t>alpha(MPa)</t>
  </si>
  <si>
    <t>beta(MPa)</t>
  </si>
  <si>
    <t>G(1.61&lt;d&lt;3)</t>
  </si>
  <si>
    <t>G(3&lt;d)</t>
  </si>
  <si>
    <t>set removed</t>
  </si>
  <si>
    <t>we have</t>
  </si>
  <si>
    <t>F1</t>
  </si>
  <si>
    <t>I</t>
  </si>
  <si>
    <t>https://www.stockspringscatalog.com/spring-index.html</t>
  </si>
  <si>
    <t>K (N/mm)</t>
  </si>
  <si>
    <t>ymax F0</t>
  </si>
  <si>
    <t>ymax F15</t>
  </si>
  <si>
    <t>ymax F30</t>
  </si>
  <si>
    <t>ymax F45</t>
  </si>
  <si>
    <t>ymax F60</t>
  </si>
  <si>
    <t>human model</t>
  </si>
  <si>
    <t>https://grabcad.com/library/worker-man-3-0-1-1-with-ipad-tablet-clipboard-1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</si>
</sst>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290286</xdr:colOff>
      <xdr:row>16</xdr:row>
      <xdr:rowOff>90253</xdr:rowOff>
    </xdr:from>
    <xdr:to>
      <xdr:col>21</xdr:col>
      <xdr:colOff>0</xdr:colOff>
      <xdr:row>22</xdr:row>
      <xdr:rowOff>163139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1939D-B2F6-B808-F011-480E0CE25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2572" y="2993110"/>
          <a:ext cx="3108476" cy="1161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1BCD-C055-4F5C-B131-7AF305A5A9F7}">
  <dimension ref="A1:AH68"/>
  <sheetViews>
    <sheetView tabSelected="1" topLeftCell="A31" zoomScale="94" workbookViewId="0">
      <selection activeCell="T12" sqref="T12"/>
    </sheetView>
  </sheetViews>
  <sheetFormatPr defaultRowHeight="14.4" x14ac:dyDescent="0.3"/>
  <cols>
    <col min="12" max="12" width="11" bestFit="1" customWidth="1"/>
    <col min="20" max="20" width="49.33203125" customWidth="1"/>
    <col min="21" max="21" width="49.5546875" customWidth="1"/>
    <col min="26" max="26" width="10.44140625" customWidth="1"/>
    <col min="33" max="33" width="14.1093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27</v>
      </c>
      <c r="I1" t="s">
        <v>32</v>
      </c>
      <c r="J1" t="s">
        <v>33</v>
      </c>
      <c r="K1" t="s">
        <v>38</v>
      </c>
      <c r="L1" t="s">
        <v>41</v>
      </c>
      <c r="M1" t="s">
        <v>39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5</v>
      </c>
      <c r="AD1" t="s">
        <v>28</v>
      </c>
      <c r="AE1" t="s">
        <v>29</v>
      </c>
    </row>
    <row r="2" spans="1:31" x14ac:dyDescent="0.3">
      <c r="A2">
        <v>1.6</v>
      </c>
      <c r="B2">
        <f t="shared" ref="B2:B36" si="0">C2*A2</f>
        <v>3.8638645521850097</v>
      </c>
      <c r="C2">
        <f t="shared" ref="C2:C36" si="1">AD2+SQRT(AE2)</f>
        <v>2.4149153451156309</v>
      </c>
      <c r="D2">
        <f t="shared" ref="D2:D36" si="2">B2+A2</f>
        <v>5.4638645521850098</v>
      </c>
      <c r="E2">
        <f t="shared" ref="E2:E36" si="3">(S2/A2)-1</f>
        <v>30.25</v>
      </c>
      <c r="F2">
        <f t="shared" ref="F2:F36" si="4">2211/(A2)^0.145</f>
        <v>2065.338995964973</v>
      </c>
      <c r="G2">
        <f t="shared" ref="G2:G36" si="5">0.75*F2</f>
        <v>1549.0042469737298</v>
      </c>
      <c r="H2">
        <f t="shared" ref="H2:H36" si="6">(4*C2+2)/(4*C2-3)</f>
        <v>1.750788923693406</v>
      </c>
      <c r="I2">
        <f t="shared" ref="I2:I36" si="7">G2/1.2</f>
        <v>1290.8368724781083</v>
      </c>
      <c r="J2">
        <f t="shared" ref="J2:J36" si="8">(8*(1+0.15)*266.8933)/(PI()*A2*A2)</f>
        <v>305.30622605671482</v>
      </c>
      <c r="K2">
        <f t="shared" ref="K2:K36" si="9">(PI()*G2*(A2)^3)/(8*H2*B2)</f>
        <v>368.31275399999998</v>
      </c>
      <c r="L2">
        <f>(81000*(A2)^4)/(E2*(B2)^3)</f>
        <v>304.21028227823575</v>
      </c>
      <c r="M2">
        <f t="shared" ref="M2:M36" si="10">B2/A2</f>
        <v>2.4149153451156309</v>
      </c>
      <c r="N2">
        <f>53.378/L2</f>
        <v>0.1754641545981</v>
      </c>
      <c r="O2">
        <f>120.1/L2</f>
        <v>0.3947927042457906</v>
      </c>
      <c r="P2">
        <f>177.9/L2</f>
        <v>0.58479285666383141</v>
      </c>
      <c r="Q2">
        <f>217.96/L2</f>
        <v>0.71647808340893027</v>
      </c>
      <c r="R2">
        <f>266.9/L2</f>
        <v>0.87735364498918822</v>
      </c>
      <c r="S2">
        <v>50</v>
      </c>
      <c r="T2" t="s">
        <v>14</v>
      </c>
      <c r="U2" t="s">
        <v>15</v>
      </c>
      <c r="AD2">
        <f t="shared" ref="AD2:AD36" si="11">(((2*I2)-J2)/(4*J2))</f>
        <v>1.8640035189428426</v>
      </c>
      <c r="AE2">
        <f t="shared" ref="AE2:AE36" si="12">(((2*I2)-J2)/(4*J2))^2-(3*I2)/(4*J2)</f>
        <v>0.30350384021703647</v>
      </c>
    </row>
    <row r="3" spans="1:31" x14ac:dyDescent="0.3">
      <c r="A3">
        <v>1.65</v>
      </c>
      <c r="B3">
        <f t="shared" si="0"/>
        <v>4.5538942639322988</v>
      </c>
      <c r="C3">
        <f t="shared" si="1"/>
        <v>2.7599359175347269</v>
      </c>
      <c r="D3">
        <f t="shared" si="2"/>
        <v>6.2038942639322983</v>
      </c>
      <c r="E3">
        <f t="shared" si="3"/>
        <v>29.303030303030305</v>
      </c>
      <c r="F3">
        <f t="shared" si="4"/>
        <v>2056.1442078292553</v>
      </c>
      <c r="G3">
        <f t="shared" si="5"/>
        <v>1542.1081558719416</v>
      </c>
      <c r="H3">
        <f t="shared" si="6"/>
        <v>1.6219103749004988</v>
      </c>
      <c r="I3">
        <f t="shared" si="7"/>
        <v>1285.0901298932847</v>
      </c>
      <c r="J3">
        <f t="shared" si="8"/>
        <v>287.08317307812308</v>
      </c>
      <c r="K3">
        <f t="shared" si="9"/>
        <v>368.31275400000004</v>
      </c>
      <c r="L3">
        <f t="shared" ref="L3:L29" si="13">(81000*(A3)^4)/(E3*(B3)^3)</f>
        <v>216.94988974840683</v>
      </c>
      <c r="M3">
        <f t="shared" si="10"/>
        <v>2.7599359175347269</v>
      </c>
      <c r="N3">
        <f t="shared" ref="N3:N66" si="14">53.378/L3</f>
        <v>0.24603838269704389</v>
      </c>
      <c r="O3">
        <f t="shared" ref="O3:O66" si="15">120.1/L3</f>
        <v>0.55358405638868013</v>
      </c>
      <c r="P3">
        <f t="shared" ref="P3:P66" si="16">177.9/L3</f>
        <v>0.82000502607448966</v>
      </c>
      <c r="Q3">
        <f t="shared" ref="Q3:Q66" si="17">217.96/L3</f>
        <v>1.0046559611197063</v>
      </c>
      <c r="R3">
        <f t="shared" ref="R3:R66" si="18">266.9/L3</f>
        <v>1.2302380070785905</v>
      </c>
      <c r="S3">
        <v>50</v>
      </c>
      <c r="T3" t="s">
        <v>12</v>
      </c>
      <c r="U3" t="s">
        <v>13</v>
      </c>
      <c r="Y3" t="s">
        <v>20</v>
      </c>
      <c r="Z3" t="s">
        <v>21</v>
      </c>
      <c r="AA3" t="s">
        <v>22</v>
      </c>
      <c r="AD3">
        <f t="shared" si="11"/>
        <v>1.9881843493550506</v>
      </c>
      <c r="AE3">
        <f t="shared" si="12"/>
        <v>0.59560048298778989</v>
      </c>
    </row>
    <row r="4" spans="1:31" x14ac:dyDescent="0.3">
      <c r="A4">
        <v>1.7</v>
      </c>
      <c r="B4">
        <f t="shared" si="0"/>
        <v>5.2337174768199297</v>
      </c>
      <c r="C4">
        <f t="shared" si="1"/>
        <v>3.078657339305841</v>
      </c>
      <c r="D4">
        <f t="shared" si="2"/>
        <v>6.9337174768199299</v>
      </c>
      <c r="E4">
        <f t="shared" si="3"/>
        <v>28.411764705882355</v>
      </c>
      <c r="F4">
        <f t="shared" si="4"/>
        <v>2047.2630539282088</v>
      </c>
      <c r="G4">
        <f t="shared" si="5"/>
        <v>1535.4472904461566</v>
      </c>
      <c r="H4">
        <f t="shared" si="6"/>
        <v>1.5367900115233861</v>
      </c>
      <c r="I4">
        <f t="shared" si="7"/>
        <v>1279.5394087051304</v>
      </c>
      <c r="J4">
        <f t="shared" si="8"/>
        <v>270.44426944816263</v>
      </c>
      <c r="K4">
        <f t="shared" si="9"/>
        <v>368.31275399999993</v>
      </c>
      <c r="L4">
        <f t="shared" si="13"/>
        <v>166.09313009140948</v>
      </c>
      <c r="M4">
        <f t="shared" si="10"/>
        <v>3.078657339305841</v>
      </c>
      <c r="N4">
        <f t="shared" si="14"/>
        <v>0.32137391817845434</v>
      </c>
      <c r="O4">
        <f t="shared" si="15"/>
        <v>0.72308830554221515</v>
      </c>
      <c r="P4">
        <f t="shared" si="16"/>
        <v>1.0710858414318076</v>
      </c>
      <c r="Q4">
        <f t="shared" si="17"/>
        <v>1.3122758291089196</v>
      </c>
      <c r="R4">
        <f t="shared" si="18"/>
        <v>1.6069297980784116</v>
      </c>
      <c r="S4">
        <v>50</v>
      </c>
      <c r="T4" t="s">
        <v>11</v>
      </c>
      <c r="U4" t="s">
        <v>16</v>
      </c>
      <c r="X4" t="s">
        <v>19</v>
      </c>
      <c r="Y4">
        <v>12</v>
      </c>
      <c r="Z4">
        <f>Y4*4.4482216153</f>
        <v>53.378659383599995</v>
      </c>
      <c r="AA4">
        <f>Z8</f>
        <v>266.89329691799998</v>
      </c>
      <c r="AD4">
        <f t="shared" si="11"/>
        <v>2.1156249239741904</v>
      </c>
      <c r="AE4">
        <f t="shared" si="12"/>
        <v>0.92743143297951303</v>
      </c>
    </row>
    <row r="5" spans="1:31" x14ac:dyDescent="0.3">
      <c r="A5">
        <v>1.75</v>
      </c>
      <c r="B5">
        <f t="shared" si="0"/>
        <v>5.9274617494052197</v>
      </c>
      <c r="C5">
        <f t="shared" si="1"/>
        <v>3.3871209996601257</v>
      </c>
      <c r="D5">
        <f t="shared" si="2"/>
        <v>7.6774617494052197</v>
      </c>
      <c r="E5">
        <f t="shared" si="3"/>
        <v>27.571428571428573</v>
      </c>
      <c r="F5">
        <f t="shared" si="4"/>
        <v>2038.6760715183641</v>
      </c>
      <c r="G5">
        <f t="shared" si="5"/>
        <v>1529.007053638773</v>
      </c>
      <c r="H5">
        <f t="shared" si="6"/>
        <v>1.4740017618308379</v>
      </c>
      <c r="I5">
        <f t="shared" si="7"/>
        <v>1274.1725446989776</v>
      </c>
      <c r="J5">
        <f t="shared" si="8"/>
        <v>255.2110820261845</v>
      </c>
      <c r="K5">
        <f t="shared" si="9"/>
        <v>368.31275399999998</v>
      </c>
      <c r="L5">
        <f t="shared" si="13"/>
        <v>132.30360083657516</v>
      </c>
      <c r="M5">
        <f t="shared" si="10"/>
        <v>3.3871209996601257</v>
      </c>
      <c r="N5">
        <f t="shared" si="14"/>
        <v>0.40345084837058887</v>
      </c>
      <c r="O5">
        <f t="shared" si="15"/>
        <v>0.90776062964719029</v>
      </c>
      <c r="P5">
        <f t="shared" si="16"/>
        <v>1.3446346046147808</v>
      </c>
      <c r="Q5">
        <f t="shared" si="17"/>
        <v>1.6474230377843597</v>
      </c>
      <c r="R5">
        <f t="shared" si="18"/>
        <v>2.0173298255856378</v>
      </c>
      <c r="S5">
        <v>50</v>
      </c>
      <c r="T5" t="s">
        <v>23</v>
      </c>
      <c r="U5" t="s">
        <v>24</v>
      </c>
      <c r="X5">
        <v>15</v>
      </c>
      <c r="Y5">
        <v>27</v>
      </c>
      <c r="Z5">
        <f t="shared" ref="Z5:Z6" si="19">Y5*4.4482216153</f>
        <v>120.10198361309999</v>
      </c>
      <c r="AD5">
        <f t="shared" si="11"/>
        <v>2.246311160516627</v>
      </c>
      <c r="AE5">
        <f t="shared" si="12"/>
        <v>1.301447089086615</v>
      </c>
    </row>
    <row r="6" spans="1:31" x14ac:dyDescent="0.3">
      <c r="A6">
        <v>1.8</v>
      </c>
      <c r="B6">
        <f t="shared" si="0"/>
        <v>6.645192454451478</v>
      </c>
      <c r="C6">
        <f t="shared" si="1"/>
        <v>3.6917735858063767</v>
      </c>
      <c r="D6">
        <f t="shared" si="2"/>
        <v>8.4451924544514778</v>
      </c>
      <c r="E6">
        <f t="shared" si="3"/>
        <v>26.777777777777779</v>
      </c>
      <c r="F6">
        <f t="shared" si="4"/>
        <v>2030.3655189974095</v>
      </c>
      <c r="G6">
        <f t="shared" si="5"/>
        <v>1522.7741392480571</v>
      </c>
      <c r="H6">
        <f t="shared" si="6"/>
        <v>1.4249137343645568</v>
      </c>
      <c r="I6">
        <f t="shared" si="7"/>
        <v>1268.978449373381</v>
      </c>
      <c r="J6">
        <f t="shared" si="8"/>
        <v>241.22961071147839</v>
      </c>
      <c r="K6">
        <f t="shared" si="9"/>
        <v>368.31275400000004</v>
      </c>
      <c r="L6">
        <f t="shared" si="13"/>
        <v>108.2125961407623</v>
      </c>
      <c r="M6">
        <f t="shared" si="10"/>
        <v>3.6917735858063767</v>
      </c>
      <c r="N6">
        <f t="shared" si="14"/>
        <v>0.4932697477340458</v>
      </c>
      <c r="O6">
        <f t="shared" si="15"/>
        <v>1.1098523118674155</v>
      </c>
      <c r="P6">
        <f t="shared" si="16"/>
        <v>1.6439860639568129</v>
      </c>
      <c r="Q6">
        <f t="shared" si="17"/>
        <v>2.0141832630692913</v>
      </c>
      <c r="R6">
        <f t="shared" si="18"/>
        <v>2.4664411493539813</v>
      </c>
      <c r="S6">
        <v>50</v>
      </c>
      <c r="T6" t="s">
        <v>17</v>
      </c>
      <c r="U6" t="s">
        <v>25</v>
      </c>
      <c r="X6">
        <v>30</v>
      </c>
      <c r="Y6">
        <v>40</v>
      </c>
      <c r="Z6">
        <f t="shared" si="19"/>
        <v>177.92886461199998</v>
      </c>
      <c r="AD6">
        <f t="shared" si="11"/>
        <v>2.3802294432898972</v>
      </c>
      <c r="AE6">
        <f t="shared" si="12"/>
        <v>1.7201480377692877</v>
      </c>
    </row>
    <row r="7" spans="1:31" x14ac:dyDescent="0.3">
      <c r="A7">
        <v>1.85</v>
      </c>
      <c r="B7">
        <f t="shared" si="0"/>
        <v>7.3924297969248016</v>
      </c>
      <c r="C7">
        <f t="shared" si="1"/>
        <v>3.9959079983377306</v>
      </c>
      <c r="D7">
        <f t="shared" si="2"/>
        <v>9.2424297969248013</v>
      </c>
      <c r="E7">
        <f t="shared" si="3"/>
        <v>26.027027027027025</v>
      </c>
      <c r="F7">
        <f t="shared" si="4"/>
        <v>2022.3151807792569</v>
      </c>
      <c r="G7">
        <f t="shared" si="5"/>
        <v>1516.7363855844428</v>
      </c>
      <c r="H7">
        <f t="shared" si="6"/>
        <v>1.38510025565732</v>
      </c>
      <c r="I7">
        <f t="shared" si="7"/>
        <v>1263.9469879870358</v>
      </c>
      <c r="J7">
        <f t="shared" si="8"/>
        <v>228.36638092189628</v>
      </c>
      <c r="K7">
        <f t="shared" si="9"/>
        <v>368.31275399999993</v>
      </c>
      <c r="L7">
        <f t="shared" si="13"/>
        <v>90.237227381992668</v>
      </c>
      <c r="M7">
        <f t="shared" si="10"/>
        <v>3.9959079983377306</v>
      </c>
      <c r="N7">
        <f t="shared" si="14"/>
        <v>0.59152969953343082</v>
      </c>
      <c r="O7">
        <f t="shared" si="15"/>
        <v>1.3309362829998321</v>
      </c>
      <c r="P7">
        <f t="shared" si="16"/>
        <v>1.9714701477574534</v>
      </c>
      <c r="Q7">
        <f t="shared" si="17"/>
        <v>2.4154110927780468</v>
      </c>
      <c r="R7">
        <f t="shared" si="18"/>
        <v>2.9577593166748977</v>
      </c>
      <c r="S7">
        <v>50</v>
      </c>
      <c r="T7" t="s">
        <v>36</v>
      </c>
      <c r="U7" t="s">
        <v>37</v>
      </c>
      <c r="X7">
        <v>45</v>
      </c>
      <c r="Y7">
        <v>49</v>
      </c>
      <c r="Z7">
        <f>Y7*4.4482216153</f>
        <v>217.96285914969997</v>
      </c>
      <c r="AD7">
        <f t="shared" si="11"/>
        <v>2.5173665950403601</v>
      </c>
      <c r="AE7">
        <f t="shared" si="12"/>
        <v>2.1860846812645569</v>
      </c>
    </row>
    <row r="8" spans="1:31" x14ac:dyDescent="0.3">
      <c r="A8">
        <v>1.9</v>
      </c>
      <c r="B8">
        <f t="shared" si="0"/>
        <v>8.172740666660566</v>
      </c>
      <c r="C8">
        <f t="shared" si="1"/>
        <v>4.3014424561371403</v>
      </c>
      <c r="D8">
        <f t="shared" si="2"/>
        <v>10.072740666660566</v>
      </c>
      <c r="E8">
        <f t="shared" si="3"/>
        <v>25.315789473684212</v>
      </c>
      <c r="F8">
        <f t="shared" si="4"/>
        <v>2014.5101988975114</v>
      </c>
      <c r="G8">
        <f t="shared" si="5"/>
        <v>1510.8826491731336</v>
      </c>
      <c r="H8">
        <f t="shared" si="6"/>
        <v>1.3519696617468524</v>
      </c>
      <c r="I8">
        <f t="shared" si="7"/>
        <v>1259.0688743109447</v>
      </c>
      <c r="J8">
        <f t="shared" si="8"/>
        <v>216.50524617872301</v>
      </c>
      <c r="K8">
        <f t="shared" si="9"/>
        <v>368.3127540000001</v>
      </c>
      <c r="L8">
        <f t="shared" si="13"/>
        <v>76.384421231659985</v>
      </c>
      <c r="M8">
        <f t="shared" si="10"/>
        <v>4.3014424561371403</v>
      </c>
      <c r="N8">
        <f t="shared" si="14"/>
        <v>0.69880741569166682</v>
      </c>
      <c r="O8">
        <f t="shared" si="15"/>
        <v>1.572310139468867</v>
      </c>
      <c r="P8">
        <f t="shared" si="16"/>
        <v>2.3290089409784467</v>
      </c>
      <c r="Q8">
        <f t="shared" si="17"/>
        <v>2.8534614321285119</v>
      </c>
      <c r="R8">
        <f t="shared" si="18"/>
        <v>3.4941679952059999</v>
      </c>
      <c r="S8">
        <v>50</v>
      </c>
      <c r="U8" t="s">
        <v>40</v>
      </c>
      <c r="X8">
        <v>60</v>
      </c>
      <c r="Y8">
        <v>60</v>
      </c>
      <c r="Z8">
        <f>Y8*4.4482216153</f>
        <v>266.89329691799998</v>
      </c>
      <c r="AD8">
        <f t="shared" si="11"/>
        <v>2.6577098512236401</v>
      </c>
      <c r="AE8">
        <f t="shared" si="12"/>
        <v>2.7018568764557225</v>
      </c>
    </row>
    <row r="9" spans="1:31" x14ac:dyDescent="0.3">
      <c r="A9">
        <v>1.95</v>
      </c>
      <c r="B9">
        <f t="shared" si="0"/>
        <v>8.9887051296867941</v>
      </c>
      <c r="C9">
        <f t="shared" si="1"/>
        <v>4.609592374198356</v>
      </c>
      <c r="D9">
        <f t="shared" si="2"/>
        <v>10.938705129686793</v>
      </c>
      <c r="E9">
        <f t="shared" si="3"/>
        <v>24.641025641025642</v>
      </c>
      <c r="F9">
        <f t="shared" si="4"/>
        <v>2006.9369270776399</v>
      </c>
      <c r="G9">
        <f t="shared" si="5"/>
        <v>1505.20269530823</v>
      </c>
      <c r="H9">
        <f t="shared" si="6"/>
        <v>1.3238683982164379</v>
      </c>
      <c r="I9">
        <f t="shared" si="7"/>
        <v>1254.3355794235251</v>
      </c>
      <c r="J9">
        <f t="shared" si="8"/>
        <v>205.54475705593424</v>
      </c>
      <c r="K9">
        <f t="shared" si="9"/>
        <v>368.31275399999987</v>
      </c>
      <c r="L9">
        <f t="shared" si="13"/>
        <v>65.444519314586998</v>
      </c>
      <c r="M9">
        <f t="shared" si="10"/>
        <v>4.609592374198356</v>
      </c>
      <c r="N9">
        <f t="shared" si="14"/>
        <v>0.81562215689011142</v>
      </c>
      <c r="O9">
        <f t="shared" si="15"/>
        <v>1.8351422129435793</v>
      </c>
      <c r="P9">
        <f t="shared" si="16"/>
        <v>2.7183330531445691</v>
      </c>
      <c r="Q9">
        <f t="shared" si="17"/>
        <v>3.3304545939482311</v>
      </c>
      <c r="R9">
        <f t="shared" si="18"/>
        <v>4.0782635856339819</v>
      </c>
      <c r="S9">
        <v>50</v>
      </c>
      <c r="X9" t="s">
        <v>26</v>
      </c>
      <c r="Z9" t="s">
        <v>18</v>
      </c>
      <c r="AD9">
        <f t="shared" si="11"/>
        <v>2.8012468364303422</v>
      </c>
      <c r="AE9">
        <f t="shared" si="12"/>
        <v>3.2701135839654878</v>
      </c>
    </row>
    <row r="10" spans="1:31" x14ac:dyDescent="0.3">
      <c r="A10">
        <v>2</v>
      </c>
      <c r="B10">
        <f t="shared" si="0"/>
        <v>9.8423484618011052</v>
      </c>
      <c r="C10">
        <f t="shared" si="1"/>
        <v>4.9211742309005526</v>
      </c>
      <c r="D10">
        <f t="shared" si="2"/>
        <v>11.842348461801105</v>
      </c>
      <c r="E10">
        <f t="shared" si="3"/>
        <v>24</v>
      </c>
      <c r="F10">
        <f t="shared" si="4"/>
        <v>1999.5828037875656</v>
      </c>
      <c r="G10">
        <f t="shared" si="5"/>
        <v>1499.6871028406742</v>
      </c>
      <c r="H10">
        <f t="shared" si="6"/>
        <v>1.2996758060931264</v>
      </c>
      <c r="I10">
        <f t="shared" si="7"/>
        <v>1249.7392523672286</v>
      </c>
      <c r="J10">
        <f t="shared" si="8"/>
        <v>195.3959846762975</v>
      </c>
      <c r="K10">
        <f t="shared" si="9"/>
        <v>368.31275399999998</v>
      </c>
      <c r="L10">
        <f t="shared" si="13"/>
        <v>56.63664893376091</v>
      </c>
      <c r="M10">
        <f t="shared" si="10"/>
        <v>4.9211742309005526</v>
      </c>
      <c r="N10">
        <f t="shared" si="14"/>
        <v>0.94246395231518654</v>
      </c>
      <c r="O10">
        <f t="shared" si="15"/>
        <v>2.120535064503239</v>
      </c>
      <c r="P10">
        <f t="shared" si="16"/>
        <v>3.1410756700676625</v>
      </c>
      <c r="Q10">
        <f t="shared" si="17"/>
        <v>3.8483915292183681</v>
      </c>
      <c r="R10">
        <f t="shared" si="18"/>
        <v>4.7124963256945422</v>
      </c>
      <c r="S10">
        <v>50</v>
      </c>
      <c r="X10">
        <v>0.15</v>
      </c>
      <c r="Z10">
        <v>2211</v>
      </c>
      <c r="AD10">
        <f t="shared" si="11"/>
        <v>2.947965542735199</v>
      </c>
      <c r="AE10">
        <f t="shared" si="12"/>
        <v>3.8935525270512379</v>
      </c>
    </row>
    <row r="11" spans="1:31" x14ac:dyDescent="0.3">
      <c r="A11">
        <v>2.0499999999999998</v>
      </c>
      <c r="B11">
        <f t="shared" si="0"/>
        <v>10.735359106123742</v>
      </c>
      <c r="C11">
        <f t="shared" si="1"/>
        <v>5.2367605395725576</v>
      </c>
      <c r="D11">
        <f t="shared" si="2"/>
        <v>12.785359106123742</v>
      </c>
      <c r="E11">
        <f t="shared" si="3"/>
        <v>23.390243902439025</v>
      </c>
      <c r="F11">
        <f t="shared" si="4"/>
        <v>1992.4362413913009</v>
      </c>
      <c r="G11">
        <f t="shared" si="5"/>
        <v>1494.3271810434758</v>
      </c>
      <c r="H11">
        <f t="shared" si="6"/>
        <v>1.2785974399514275</v>
      </c>
      <c r="I11">
        <f t="shared" si="7"/>
        <v>1245.2726508695632</v>
      </c>
      <c r="J11">
        <f t="shared" si="8"/>
        <v>185.98071117315649</v>
      </c>
      <c r="K11">
        <f t="shared" si="9"/>
        <v>368.31275400000015</v>
      </c>
      <c r="L11">
        <f t="shared" si="13"/>
        <v>49.432887920915462</v>
      </c>
      <c r="M11">
        <f t="shared" si="10"/>
        <v>5.2367605395725576</v>
      </c>
      <c r="N11">
        <f t="shared" si="14"/>
        <v>1.0798074368100055</v>
      </c>
      <c r="O11">
        <f t="shared" si="15"/>
        <v>2.4295566180988728</v>
      </c>
      <c r="P11">
        <f t="shared" si="16"/>
        <v>3.598818670772602</v>
      </c>
      <c r="Q11">
        <f t="shared" si="17"/>
        <v>4.4092103287329758</v>
      </c>
      <c r="R11">
        <f t="shared" si="18"/>
        <v>5.3992394785228068</v>
      </c>
      <c r="S11">
        <v>50</v>
      </c>
      <c r="AD11">
        <f t="shared" si="11"/>
        <v>3.0978543097680644</v>
      </c>
      <c r="AE11">
        <f t="shared" si="12"/>
        <v>4.5749198598964735</v>
      </c>
    </row>
    <row r="12" spans="1:31" x14ac:dyDescent="0.3">
      <c r="A12">
        <v>2.1</v>
      </c>
      <c r="B12">
        <f t="shared" si="0"/>
        <v>11.669208675253646</v>
      </c>
      <c r="C12">
        <f t="shared" si="1"/>
        <v>5.5567660358350697</v>
      </c>
      <c r="D12">
        <f t="shared" si="2"/>
        <v>13.769208675253646</v>
      </c>
      <c r="E12">
        <f t="shared" si="3"/>
        <v>22.80952380952381</v>
      </c>
      <c r="F12">
        <f t="shared" si="4"/>
        <v>1985.4865290246037</v>
      </c>
      <c r="G12">
        <f t="shared" si="5"/>
        <v>1489.1148967684528</v>
      </c>
      <c r="H12">
        <f t="shared" si="6"/>
        <v>1.2600501024350024</v>
      </c>
      <c r="I12">
        <f t="shared" si="7"/>
        <v>1240.9290806403774</v>
      </c>
      <c r="J12">
        <f t="shared" si="8"/>
        <v>177.22991807373924</v>
      </c>
      <c r="K12">
        <f t="shared" si="9"/>
        <v>368.31275400000004</v>
      </c>
      <c r="L12">
        <f t="shared" si="13"/>
        <v>43.463206225169834</v>
      </c>
      <c r="M12">
        <f t="shared" si="10"/>
        <v>5.5567660358350697</v>
      </c>
      <c r="N12">
        <f t="shared" si="14"/>
        <v>1.228119244665582</v>
      </c>
      <c r="O12">
        <f t="shared" si="15"/>
        <v>2.7632567965142267</v>
      </c>
      <c r="P12">
        <f t="shared" si="16"/>
        <v>4.0931172697741962</v>
      </c>
      <c r="Q12">
        <f t="shared" si="17"/>
        <v>5.0148164143900162</v>
      </c>
      <c r="R12">
        <f t="shared" si="18"/>
        <v>6.1408263029945633</v>
      </c>
      <c r="S12">
        <v>50</v>
      </c>
      <c r="X12" t="s">
        <v>6</v>
      </c>
      <c r="Z12" t="s">
        <v>34</v>
      </c>
      <c r="AA12" t="s">
        <v>35</v>
      </c>
      <c r="AD12">
        <f t="shared" si="11"/>
        <v>3.2509018063306607</v>
      </c>
      <c r="AE12">
        <f t="shared" si="12"/>
        <v>5.3170098449079619</v>
      </c>
    </row>
    <row r="13" spans="1:31" x14ac:dyDescent="0.3">
      <c r="A13">
        <v>2.15</v>
      </c>
      <c r="B13">
        <f t="shared" si="0"/>
        <v>12.645222566469899</v>
      </c>
      <c r="C13">
        <f t="shared" si="1"/>
        <v>5.8814988681255347</v>
      </c>
      <c r="D13">
        <f t="shared" si="2"/>
        <v>14.795222566469899</v>
      </c>
      <c r="E13">
        <f t="shared" si="3"/>
        <v>22.255813953488374</v>
      </c>
      <c r="F13">
        <f t="shared" si="4"/>
        <v>1978.7237472113977</v>
      </c>
      <c r="G13">
        <f t="shared" si="5"/>
        <v>1484.0428104085483</v>
      </c>
      <c r="H13">
        <f t="shared" si="6"/>
        <v>1.2435935449122699</v>
      </c>
      <c r="I13">
        <f t="shared" si="7"/>
        <v>1236.7023420071237</v>
      </c>
      <c r="J13">
        <f t="shared" si="8"/>
        <v>169.08251783779124</v>
      </c>
      <c r="K13">
        <f t="shared" si="9"/>
        <v>368.31275400000004</v>
      </c>
      <c r="L13">
        <f t="shared" si="13"/>
        <v>38.460590094722029</v>
      </c>
      <c r="M13">
        <f t="shared" si="10"/>
        <v>5.8814988681255347</v>
      </c>
      <c r="N13">
        <f t="shared" si="14"/>
        <v>1.3878622212643872</v>
      </c>
      <c r="O13">
        <f t="shared" si="15"/>
        <v>3.1226769975243149</v>
      </c>
      <c r="P13">
        <f t="shared" si="16"/>
        <v>4.6255140537849764</v>
      </c>
      <c r="Q13">
        <f t="shared" si="17"/>
        <v>5.6670997367227294</v>
      </c>
      <c r="R13">
        <f t="shared" si="18"/>
        <v>6.939571112733053</v>
      </c>
      <c r="S13">
        <v>50</v>
      </c>
      <c r="X13">
        <v>1.2</v>
      </c>
      <c r="Z13">
        <v>81000</v>
      </c>
      <c r="AA13">
        <v>80000</v>
      </c>
      <c r="AD13">
        <f t="shared" si="11"/>
        <v>3.4070970134048686</v>
      </c>
      <c r="AE13">
        <f t="shared" si="12"/>
        <v>6.1226645386450711</v>
      </c>
    </row>
    <row r="14" spans="1:31" x14ac:dyDescent="0.3">
      <c r="A14">
        <v>2.2000000000000002</v>
      </c>
      <c r="B14">
        <f t="shared" si="0"/>
        <v>13.664623756836262</v>
      </c>
      <c r="C14">
        <f t="shared" si="1"/>
        <v>6.2111926167437552</v>
      </c>
      <c r="D14">
        <f t="shared" si="2"/>
        <v>15.864623756836263</v>
      </c>
      <c r="E14">
        <f t="shared" si="3"/>
        <v>21.727272727272727</v>
      </c>
      <c r="F14">
        <f t="shared" si="4"/>
        <v>1972.1386925646743</v>
      </c>
      <c r="G14">
        <f t="shared" si="5"/>
        <v>1479.1040194235056</v>
      </c>
      <c r="H14">
        <f t="shared" si="6"/>
        <v>1.2288877334535977</v>
      </c>
      <c r="I14">
        <f t="shared" si="7"/>
        <v>1232.5866828529215</v>
      </c>
      <c r="J14">
        <f t="shared" si="8"/>
        <v>161.48428485644419</v>
      </c>
      <c r="K14">
        <f t="shared" si="9"/>
        <v>368.31275399999993</v>
      </c>
      <c r="L14">
        <f t="shared" si="13"/>
        <v>34.227682244320988</v>
      </c>
      <c r="M14" s="1">
        <f t="shared" si="10"/>
        <v>6.2111926167437552</v>
      </c>
      <c r="N14">
        <f t="shared" si="14"/>
        <v>1.5594979414317898</v>
      </c>
      <c r="O14">
        <f t="shared" si="15"/>
        <v>3.5088557601625752</v>
      </c>
      <c r="P14">
        <f t="shared" si="16"/>
        <v>5.197547374961883</v>
      </c>
      <c r="Q14">
        <f t="shared" si="17"/>
        <v>6.3679450581601573</v>
      </c>
      <c r="R14">
        <f t="shared" si="18"/>
        <v>7.7977818683379789</v>
      </c>
      <c r="S14">
        <v>50</v>
      </c>
      <c r="AD14">
        <f t="shared" si="11"/>
        <v>3.5664292084169764</v>
      </c>
      <c r="AE14">
        <f t="shared" si="12"/>
        <v>6.9947734860242772</v>
      </c>
    </row>
    <row r="15" spans="1:31" x14ac:dyDescent="0.3">
      <c r="A15">
        <v>2.25</v>
      </c>
      <c r="B15">
        <f t="shared" si="0"/>
        <v>14.728561148949826</v>
      </c>
      <c r="C15">
        <f t="shared" si="1"/>
        <v>6.5460271773110339</v>
      </c>
      <c r="D15">
        <f t="shared" si="2"/>
        <v>16.978561148949826</v>
      </c>
      <c r="E15">
        <f t="shared" si="3"/>
        <v>21.222222222222221</v>
      </c>
      <c r="F15">
        <f t="shared" si="4"/>
        <v>1965.722811181206</v>
      </c>
      <c r="G15">
        <f t="shared" si="5"/>
        <v>1474.2921083859046</v>
      </c>
      <c r="H15">
        <f t="shared" si="6"/>
        <v>1.2156649652874671</v>
      </c>
      <c r="I15">
        <f t="shared" si="7"/>
        <v>1228.5767569882539</v>
      </c>
      <c r="J15">
        <f t="shared" si="8"/>
        <v>154.38695085534619</v>
      </c>
      <c r="K15">
        <f t="shared" si="9"/>
        <v>368.31275400000004</v>
      </c>
      <c r="L15">
        <f t="shared" si="13"/>
        <v>30.61563467970976</v>
      </c>
      <c r="M15" s="1">
        <f t="shared" si="10"/>
        <v>6.5460271773110339</v>
      </c>
      <c r="N15">
        <f t="shared" si="14"/>
        <v>1.7434882718722731</v>
      </c>
      <c r="O15">
        <f t="shared" si="15"/>
        <v>3.9228322801877171</v>
      </c>
      <c r="P15">
        <f t="shared" si="16"/>
        <v>5.8107565582464193</v>
      </c>
      <c r="Q15">
        <f t="shared" si="17"/>
        <v>7.1192383329701494</v>
      </c>
      <c r="R15">
        <f t="shared" si="18"/>
        <v>8.7177679898592988</v>
      </c>
      <c r="S15">
        <v>50</v>
      </c>
      <c r="AD15">
        <f t="shared" si="11"/>
        <v>3.7288879506383172</v>
      </c>
      <c r="AE15">
        <f t="shared" si="12"/>
        <v>7.9362734224581528</v>
      </c>
    </row>
    <row r="16" spans="1:31" x14ac:dyDescent="0.3">
      <c r="A16" s="2">
        <v>2.2999999999999998</v>
      </c>
      <c r="B16" s="2">
        <f t="shared" si="0"/>
        <v>15.838128579325895</v>
      </c>
      <c r="C16">
        <f t="shared" si="1"/>
        <v>6.8861428605764763</v>
      </c>
      <c r="D16">
        <f t="shared" si="2"/>
        <v>18.138128579325894</v>
      </c>
      <c r="E16">
        <f t="shared" si="3"/>
        <v>20.739130434782609</v>
      </c>
      <c r="F16">
        <f t="shared" si="4"/>
        <v>1959.4681395574773</v>
      </c>
      <c r="G16">
        <f t="shared" si="5"/>
        <v>1469.6011046681081</v>
      </c>
      <c r="H16">
        <f t="shared" si="6"/>
        <v>1.2037110328755556</v>
      </c>
      <c r="I16">
        <f t="shared" si="7"/>
        <v>1224.6675872234234</v>
      </c>
      <c r="J16">
        <f t="shared" si="8"/>
        <v>147.74743642820229</v>
      </c>
      <c r="K16">
        <f t="shared" si="9"/>
        <v>368.31275399999998</v>
      </c>
      <c r="L16">
        <f t="shared" si="13"/>
        <v>27.510230342560401</v>
      </c>
      <c r="M16" s="1">
        <f t="shared" si="10"/>
        <v>6.8861428605764763</v>
      </c>
      <c r="N16">
        <f t="shared" si="14"/>
        <v>1.9402963673997382</v>
      </c>
      <c r="O16">
        <f t="shared" si="15"/>
        <v>4.3656486515925765</v>
      </c>
      <c r="P16">
        <f t="shared" si="16"/>
        <v>6.4666852216346324</v>
      </c>
      <c r="Q16">
        <f t="shared" si="17"/>
        <v>7.9228707751966532</v>
      </c>
      <c r="R16">
        <f t="shared" si="18"/>
        <v>9.7018453381353744</v>
      </c>
      <c r="S16">
        <v>50</v>
      </c>
      <c r="AD16">
        <f t="shared" si="11"/>
        <v>3.8944630676165715</v>
      </c>
      <c r="AE16">
        <f t="shared" si="12"/>
        <v>8.9501479836046194</v>
      </c>
    </row>
    <row r="17" spans="1:34" x14ac:dyDescent="0.3">
      <c r="A17">
        <v>2.35</v>
      </c>
      <c r="B17">
        <f t="shared" si="0"/>
        <v>16.9943779532334</v>
      </c>
      <c r="C17">
        <f t="shared" si="1"/>
        <v>7.2316501928652759</v>
      </c>
      <c r="D17">
        <f t="shared" si="2"/>
        <v>19.344377953233401</v>
      </c>
      <c r="E17">
        <f t="shared" si="3"/>
        <v>20.276595744680851</v>
      </c>
      <c r="F17">
        <f t="shared" si="4"/>
        <v>1953.3672520342027</v>
      </c>
      <c r="G17">
        <f t="shared" si="5"/>
        <v>1465.0254390256521</v>
      </c>
      <c r="H17">
        <f t="shared" si="6"/>
        <v>1.1928521229633693</v>
      </c>
      <c r="I17">
        <f t="shared" si="7"/>
        <v>1220.8545325213768</v>
      </c>
      <c r="J17">
        <f t="shared" si="8"/>
        <v>141.52719578183613</v>
      </c>
      <c r="K17">
        <f t="shared" si="9"/>
        <v>368.31275400000004</v>
      </c>
      <c r="L17">
        <f t="shared" si="13"/>
        <v>24.822505019827606</v>
      </c>
      <c r="M17" s="1">
        <f t="shared" si="10"/>
        <v>7.2316501928652759</v>
      </c>
      <c r="N17">
        <f t="shared" si="14"/>
        <v>2.1503873181761053</v>
      </c>
      <c r="O17">
        <f t="shared" si="15"/>
        <v>4.8383513228849013</v>
      </c>
      <c r="P17">
        <f t="shared" si="16"/>
        <v>7.1668834333157703</v>
      </c>
      <c r="Q17">
        <f t="shared" si="17"/>
        <v>8.7807415015486523</v>
      </c>
      <c r="R17">
        <f t="shared" si="18"/>
        <v>10.752339451107245</v>
      </c>
      <c r="S17">
        <v>50</v>
      </c>
      <c r="AD17">
        <f t="shared" si="11"/>
        <v>4.0631446425439011</v>
      </c>
      <c r="AE17">
        <f t="shared" si="12"/>
        <v>10.039427422417354</v>
      </c>
    </row>
    <row r="18" spans="1:34" x14ac:dyDescent="0.3">
      <c r="A18">
        <v>2.4</v>
      </c>
      <c r="B18">
        <f t="shared" si="0"/>
        <v>18.198328557686335</v>
      </c>
      <c r="C18">
        <f t="shared" si="1"/>
        <v>7.5826368990359736</v>
      </c>
      <c r="D18">
        <f t="shared" si="2"/>
        <v>20.598328557686333</v>
      </c>
      <c r="E18">
        <f t="shared" si="3"/>
        <v>19.833333333333336</v>
      </c>
      <c r="F18">
        <f t="shared" si="4"/>
        <v>1947.4132139259261</v>
      </c>
      <c r="G18">
        <f t="shared" si="5"/>
        <v>1460.5599104444445</v>
      </c>
      <c r="H18">
        <f t="shared" si="6"/>
        <v>1.1829454745614192</v>
      </c>
      <c r="I18">
        <f t="shared" si="7"/>
        <v>1217.1332587037039</v>
      </c>
      <c r="J18">
        <f t="shared" si="8"/>
        <v>135.69165602520658</v>
      </c>
      <c r="K18">
        <f t="shared" si="9"/>
        <v>368.31275399999998</v>
      </c>
      <c r="L18">
        <f t="shared" si="13"/>
        <v>22.482249844306001</v>
      </c>
      <c r="M18" s="1">
        <f t="shared" si="10"/>
        <v>7.5826368990359727</v>
      </c>
      <c r="N18">
        <f t="shared" si="14"/>
        <v>2.3742285745267107</v>
      </c>
      <c r="O18">
        <f t="shared" si="15"/>
        <v>5.3419920529180178</v>
      </c>
      <c r="P18">
        <f t="shared" si="16"/>
        <v>7.9129091275113685</v>
      </c>
      <c r="Q18">
        <f t="shared" si="17"/>
        <v>9.694759266061709</v>
      </c>
      <c r="R18">
        <f t="shared" si="18"/>
        <v>11.871587667975177</v>
      </c>
      <c r="S18">
        <v>50</v>
      </c>
      <c r="AD18">
        <f t="shared" si="11"/>
        <v>4.2349230024785189</v>
      </c>
      <c r="AE18">
        <f t="shared" si="12"/>
        <v>11.207188333203895</v>
      </c>
    </row>
    <row r="19" spans="1:34" x14ac:dyDescent="0.3">
      <c r="A19">
        <v>2.4500000000000002</v>
      </c>
      <c r="B19">
        <f t="shared" si="0"/>
        <v>19.450973814310508</v>
      </c>
      <c r="C19">
        <f t="shared" si="1"/>
        <v>7.9391729854328599</v>
      </c>
      <c r="D19">
        <f t="shared" si="2"/>
        <v>21.900973814310507</v>
      </c>
      <c r="E19">
        <f t="shared" si="3"/>
        <v>19.408163265306122</v>
      </c>
      <c r="F19">
        <f t="shared" si="4"/>
        <v>1941.5995396162939</v>
      </c>
      <c r="G19">
        <f t="shared" si="5"/>
        <v>1456.1996547122203</v>
      </c>
      <c r="H19">
        <f t="shared" si="6"/>
        <v>1.1738725723435541</v>
      </c>
      <c r="I19">
        <f t="shared" si="7"/>
        <v>1213.4997122601837</v>
      </c>
      <c r="J19">
        <f t="shared" si="8"/>
        <v>130.20973572764512</v>
      </c>
      <c r="K19">
        <f t="shared" si="9"/>
        <v>368.31275400000004</v>
      </c>
      <c r="L19">
        <f t="shared" si="13"/>
        <v>20.433411062239482</v>
      </c>
      <c r="M19" s="1">
        <f t="shared" si="10"/>
        <v>7.9391729854328599</v>
      </c>
      <c r="N19">
        <f t="shared" si="14"/>
        <v>2.6122902259154093</v>
      </c>
      <c r="O19">
        <f t="shared" si="15"/>
        <v>5.8776285385821989</v>
      </c>
      <c r="P19">
        <f t="shared" si="16"/>
        <v>8.7063290342529012</v>
      </c>
      <c r="Q19">
        <f t="shared" si="17"/>
        <v>10.66684359924543</v>
      </c>
      <c r="R19">
        <f t="shared" si="18"/>
        <v>13.061940524126468</v>
      </c>
      <c r="S19">
        <v>50</v>
      </c>
      <c r="AA19" t="s">
        <v>7</v>
      </c>
      <c r="AD19">
        <f t="shared" si="11"/>
        <v>4.4097887073452631</v>
      </c>
      <c r="AE19">
        <f t="shared" si="12"/>
        <v>12.456553382411911</v>
      </c>
    </row>
    <row r="20" spans="1:34" x14ac:dyDescent="0.3">
      <c r="A20">
        <v>2.5</v>
      </c>
      <c r="B20">
        <f t="shared" si="0"/>
        <v>20.753286273438217</v>
      </c>
      <c r="C20">
        <f t="shared" si="1"/>
        <v>8.3013145093752865</v>
      </c>
      <c r="D20">
        <f t="shared" si="2"/>
        <v>23.253286273438217</v>
      </c>
      <c r="E20">
        <f t="shared" si="3"/>
        <v>19</v>
      </c>
      <c r="F20">
        <f t="shared" si="4"/>
        <v>1935.9201550033349</v>
      </c>
      <c r="G20">
        <f t="shared" si="5"/>
        <v>1451.9401162525012</v>
      </c>
      <c r="H20">
        <f t="shared" si="6"/>
        <v>1.1655340932294729</v>
      </c>
      <c r="I20">
        <f t="shared" si="7"/>
        <v>1209.9500968770844</v>
      </c>
      <c r="J20">
        <f t="shared" si="8"/>
        <v>125.05343019283039</v>
      </c>
      <c r="K20">
        <f t="shared" si="9"/>
        <v>368.31275399999998</v>
      </c>
      <c r="L20">
        <f t="shared" si="13"/>
        <v>18.630770759356896</v>
      </c>
      <c r="M20" s="1">
        <f t="shared" si="10"/>
        <v>8.3013145093752865</v>
      </c>
      <c r="N20">
        <f t="shared" si="14"/>
        <v>2.8650451819440734</v>
      </c>
      <c r="O20">
        <f t="shared" si="15"/>
        <v>6.4463248220518414</v>
      </c>
      <c r="P20">
        <f t="shared" si="16"/>
        <v>9.5487192826230043</v>
      </c>
      <c r="Q20">
        <f t="shared" si="17"/>
        <v>11.698925547164192</v>
      </c>
      <c r="R20">
        <f t="shared" si="18"/>
        <v>14.325762656166832</v>
      </c>
      <c r="S20">
        <v>50</v>
      </c>
      <c r="AA20" t="s">
        <v>8</v>
      </c>
      <c r="AD20">
        <f t="shared" si="11"/>
        <v>4.5877325396486954</v>
      </c>
      <c r="AE20">
        <f t="shared" si="12"/>
        <v>13.790691045878425</v>
      </c>
    </row>
    <row r="21" spans="1:34" x14ac:dyDescent="0.3">
      <c r="A21">
        <v>2.5499999999999998</v>
      </c>
      <c r="B21">
        <f t="shared" si="0"/>
        <v>22.106221372885251</v>
      </c>
      <c r="C21">
        <f t="shared" si="1"/>
        <v>8.6691064207393147</v>
      </c>
      <c r="D21">
        <f t="shared" si="2"/>
        <v>24.656221372885252</v>
      </c>
      <c r="E21">
        <f t="shared" si="3"/>
        <v>18.607843137254903</v>
      </c>
      <c r="F21">
        <f t="shared" si="4"/>
        <v>1930.3693637660608</v>
      </c>
      <c r="G21">
        <f t="shared" si="5"/>
        <v>1447.7770228245456</v>
      </c>
      <c r="H21">
        <f t="shared" si="6"/>
        <v>1.1578460919184492</v>
      </c>
      <c r="I21">
        <f t="shared" si="7"/>
        <v>1206.4808523537881</v>
      </c>
      <c r="J21">
        <f t="shared" si="8"/>
        <v>120.19745308807231</v>
      </c>
      <c r="K21">
        <f t="shared" si="9"/>
        <v>368.31275400000004</v>
      </c>
      <c r="L21">
        <f t="shared" si="13"/>
        <v>17.037511422799305</v>
      </c>
      <c r="M21" s="1">
        <f t="shared" si="10"/>
        <v>8.6691064207393147</v>
      </c>
      <c r="N21">
        <f t="shared" si="14"/>
        <v>3.1329692861464777</v>
      </c>
      <c r="O21">
        <f t="shared" si="15"/>
        <v>7.0491515468206369</v>
      </c>
      <c r="P21">
        <f t="shared" si="16"/>
        <v>10.441665780011586</v>
      </c>
      <c r="Q21">
        <f t="shared" si="17"/>
        <v>12.79294813609514</v>
      </c>
      <c r="R21">
        <f t="shared" si="18"/>
        <v>15.66543337091114</v>
      </c>
      <c r="S21">
        <v>50</v>
      </c>
      <c r="AA21" t="s">
        <v>9</v>
      </c>
      <c r="AD21">
        <f t="shared" si="11"/>
        <v>4.7687454948390755</v>
      </c>
      <c r="AE21">
        <f t="shared" si="12"/>
        <v>15.212815352289365</v>
      </c>
      <c r="AG21" t="s">
        <v>47</v>
      </c>
      <c r="AH21" t="s">
        <v>48</v>
      </c>
    </row>
    <row r="22" spans="1:34" x14ac:dyDescent="0.3">
      <c r="A22">
        <v>2.6</v>
      </c>
      <c r="B22">
        <f t="shared" si="0"/>
        <v>23.510720311879943</v>
      </c>
      <c r="C22">
        <f t="shared" si="1"/>
        <v>9.0425847353384388</v>
      </c>
      <c r="D22">
        <f t="shared" si="2"/>
        <v>26.110720311879945</v>
      </c>
      <c r="E22">
        <f t="shared" si="3"/>
        <v>18.23076923076923</v>
      </c>
      <c r="F22">
        <f t="shared" si="4"/>
        <v>1924.9418169969797</v>
      </c>
      <c r="G22">
        <f t="shared" si="5"/>
        <v>1443.7063627477348</v>
      </c>
      <c r="H22">
        <f t="shared" si="6"/>
        <v>1.1507370789559963</v>
      </c>
      <c r="I22">
        <f t="shared" si="7"/>
        <v>1203.0886356231124</v>
      </c>
      <c r="J22">
        <f t="shared" si="8"/>
        <v>115.61892584396301</v>
      </c>
      <c r="K22">
        <f t="shared" si="9"/>
        <v>368.31275400000004</v>
      </c>
      <c r="L22">
        <f t="shared" si="13"/>
        <v>15.623402153975766</v>
      </c>
      <c r="M22" s="1">
        <f t="shared" si="10"/>
        <v>9.0425847353384388</v>
      </c>
      <c r="N22">
        <f t="shared" si="14"/>
        <v>3.416541382852174</v>
      </c>
      <c r="O22">
        <f t="shared" si="15"/>
        <v>7.687186108144668</v>
      </c>
      <c r="P22">
        <f t="shared" si="16"/>
        <v>11.386764434962004</v>
      </c>
      <c r="Q22">
        <f t="shared" si="17"/>
        <v>13.95086664555547</v>
      </c>
      <c r="R22">
        <f t="shared" si="18"/>
        <v>17.083346979715337</v>
      </c>
      <c r="S22">
        <v>50</v>
      </c>
      <c r="AA22" t="s">
        <v>10</v>
      </c>
      <c r="AD22">
        <f t="shared" si="11"/>
        <v>4.9528187722777179</v>
      </c>
      <c r="AE22">
        <f t="shared" si="12"/>
        <v>16.726185632609983</v>
      </c>
    </row>
    <row r="23" spans="1:34" x14ac:dyDescent="0.3">
      <c r="A23">
        <v>2.65</v>
      </c>
      <c r="B23">
        <f t="shared" si="0"/>
        <v>24.967712279982514</v>
      </c>
      <c r="C23">
        <f t="shared" si="1"/>
        <v>9.421778218861327</v>
      </c>
      <c r="D23">
        <f t="shared" si="2"/>
        <v>27.617712279982513</v>
      </c>
      <c r="E23">
        <f t="shared" si="3"/>
        <v>17.867924528301888</v>
      </c>
      <c r="F23">
        <f t="shared" si="4"/>
        <v>1919.6324858070134</v>
      </c>
      <c r="G23">
        <f t="shared" si="5"/>
        <v>1439.7243643552601</v>
      </c>
      <c r="H23">
        <f t="shared" si="6"/>
        <v>1.1441457528608401</v>
      </c>
      <c r="I23">
        <f t="shared" si="7"/>
        <v>1199.7703036293835</v>
      </c>
      <c r="J23">
        <f t="shared" si="8"/>
        <v>111.29710768318834</v>
      </c>
      <c r="K23">
        <f t="shared" si="9"/>
        <v>368.31275400000015</v>
      </c>
      <c r="L23">
        <f t="shared" si="13"/>
        <v>14.363429668530104</v>
      </c>
      <c r="M23" s="1">
        <f t="shared" si="10"/>
        <v>9.421778218861327</v>
      </c>
      <c r="N23">
        <f t="shared" si="14"/>
        <v>3.7162433507750445</v>
      </c>
      <c r="O23">
        <f t="shared" si="15"/>
        <v>8.3615127286163364</v>
      </c>
      <c r="P23">
        <f t="shared" si="16"/>
        <v>12.385621269116124</v>
      </c>
      <c r="Q23">
        <f t="shared" si="17"/>
        <v>15.174648745455594</v>
      </c>
      <c r="R23">
        <f t="shared" si="18"/>
        <v>18.581912966425481</v>
      </c>
      <c r="S23">
        <v>50</v>
      </c>
      <c r="AD23">
        <f t="shared" si="11"/>
        <v>5.1399437667534791</v>
      </c>
      <c r="AE23">
        <f t="shared" si="12"/>
        <v>18.334106275257724</v>
      </c>
    </row>
    <row r="24" spans="1:34" x14ac:dyDescent="0.3">
      <c r="A24">
        <v>2.7</v>
      </c>
      <c r="B24">
        <f t="shared" si="0"/>
        <v>26.478116208361545</v>
      </c>
      <c r="C24">
        <f t="shared" si="1"/>
        <v>9.8067097068005715</v>
      </c>
      <c r="D24">
        <f t="shared" si="2"/>
        <v>29.178116208361544</v>
      </c>
      <c r="E24">
        <f t="shared" si="3"/>
        <v>17.518518518518519</v>
      </c>
      <c r="F24">
        <f t="shared" si="4"/>
        <v>1914.4366365618089</v>
      </c>
      <c r="G24">
        <f t="shared" si="5"/>
        <v>1435.8274774213567</v>
      </c>
      <c r="H24">
        <f t="shared" si="6"/>
        <v>1.1380192189511595</v>
      </c>
      <c r="I24">
        <f t="shared" si="7"/>
        <v>1196.5228978511307</v>
      </c>
      <c r="J24">
        <f t="shared" si="8"/>
        <v>107.21316031621262</v>
      </c>
      <c r="K24">
        <f t="shared" si="9"/>
        <v>368.31275399999998</v>
      </c>
      <c r="L24">
        <f t="shared" si="13"/>
        <v>13.236752462004318</v>
      </c>
      <c r="M24" s="1">
        <f t="shared" si="10"/>
        <v>9.8067097068005715</v>
      </c>
      <c r="N24">
        <f t="shared" si="14"/>
        <v>4.0325601127028605</v>
      </c>
      <c r="O24">
        <f t="shared" si="15"/>
        <v>9.0732224799657821</v>
      </c>
      <c r="P24">
        <f t="shared" si="16"/>
        <v>13.439852449508017</v>
      </c>
      <c r="Q24">
        <f t="shared" si="17"/>
        <v>16.466274535664795</v>
      </c>
      <c r="R24">
        <f t="shared" si="18"/>
        <v>20.163556035827369</v>
      </c>
      <c r="S24">
        <v>50</v>
      </c>
      <c r="AD24">
        <f t="shared" si="11"/>
        <v>5.3301120605069707</v>
      </c>
      <c r="AE24">
        <f t="shared" si="12"/>
        <v>20.039926486801409</v>
      </c>
    </row>
    <row r="25" spans="1:34" x14ac:dyDescent="0.3">
      <c r="A25">
        <v>2.75</v>
      </c>
      <c r="B25">
        <f t="shared" si="0"/>
        <v>28.042842162288022</v>
      </c>
      <c r="C25">
        <f t="shared" si="1"/>
        <v>10.197397149922917</v>
      </c>
      <c r="D25">
        <f t="shared" si="2"/>
        <v>30.792842162288022</v>
      </c>
      <c r="E25">
        <f t="shared" si="3"/>
        <v>17.181818181818183</v>
      </c>
      <c r="F25">
        <f t="shared" si="4"/>
        <v>1909.3498084530888</v>
      </c>
      <c r="G25">
        <f t="shared" si="5"/>
        <v>1432.0123563398165</v>
      </c>
      <c r="H25">
        <f t="shared" si="6"/>
        <v>1.1323115753644588</v>
      </c>
      <c r="I25">
        <f t="shared" si="7"/>
        <v>1193.3436302831806</v>
      </c>
      <c r="J25">
        <f t="shared" si="8"/>
        <v>103.34994230812431</v>
      </c>
      <c r="K25">
        <f t="shared" si="9"/>
        <v>368.31275400000004</v>
      </c>
      <c r="L25">
        <f t="shared" si="13"/>
        <v>12.225893052650264</v>
      </c>
      <c r="M25" s="1">
        <f t="shared" si="10"/>
        <v>10.197397149922917</v>
      </c>
      <c r="N25">
        <f t="shared" si="14"/>
        <v>4.3659796278382297</v>
      </c>
      <c r="O25">
        <f t="shared" si="15"/>
        <v>9.8234132658280817</v>
      </c>
      <c r="P25">
        <f t="shared" si="16"/>
        <v>14.551084263037602</v>
      </c>
      <c r="Q25">
        <f t="shared" si="17"/>
        <v>17.827736514736795</v>
      </c>
      <c r="R25">
        <f t="shared" si="18"/>
        <v>21.830716075349834</v>
      </c>
      <c r="S25">
        <v>50</v>
      </c>
      <c r="AD25">
        <f t="shared" si="11"/>
        <v>5.5233154157231308</v>
      </c>
      <c r="AE25">
        <f t="shared" si="12"/>
        <v>21.847040057980085</v>
      </c>
    </row>
    <row r="26" spans="1:34" x14ac:dyDescent="0.3">
      <c r="A26">
        <v>2.8</v>
      </c>
      <c r="B26">
        <f t="shared" si="0"/>
        <v>29.662792460611243</v>
      </c>
      <c r="C26">
        <f t="shared" si="1"/>
        <v>10.593854450218302</v>
      </c>
      <c r="D26">
        <f t="shared" si="2"/>
        <v>32.46279246061124</v>
      </c>
      <c r="E26">
        <f t="shared" si="3"/>
        <v>16.857142857142858</v>
      </c>
      <c r="F26">
        <f t="shared" si="4"/>
        <v>1904.3677931467905</v>
      </c>
      <c r="G26">
        <f t="shared" si="5"/>
        <v>1428.275844860093</v>
      </c>
      <c r="H26">
        <f t="shared" si="6"/>
        <v>1.1269827795932394</v>
      </c>
      <c r="I26">
        <f t="shared" si="7"/>
        <v>1190.2298707167442</v>
      </c>
      <c r="J26">
        <f t="shared" si="8"/>
        <v>99.691828916478315</v>
      </c>
      <c r="K26">
        <f t="shared" si="9"/>
        <v>368.31275399999998</v>
      </c>
      <c r="L26">
        <f t="shared" si="13"/>
        <v>11.316107837092018</v>
      </c>
      <c r="M26" s="1">
        <f t="shared" si="10"/>
        <v>10.593854450218302</v>
      </c>
      <c r="N26">
        <f t="shared" si="14"/>
        <v>4.7169928714391727</v>
      </c>
      <c r="O26">
        <f t="shared" si="15"/>
        <v>10.613189775934741</v>
      </c>
      <c r="P26">
        <f t="shared" si="16"/>
        <v>15.720953048616074</v>
      </c>
      <c r="Q26">
        <f t="shared" si="17"/>
        <v>19.261039496775489</v>
      </c>
      <c r="R26">
        <f t="shared" si="18"/>
        <v>23.585848053263799</v>
      </c>
      <c r="S26">
        <v>50</v>
      </c>
      <c r="AD26">
        <f t="shared" si="11"/>
        <v>5.7195457674566157</v>
      </c>
      <c r="AE26">
        <f t="shared" si="12"/>
        <v>23.758885134845965</v>
      </c>
    </row>
    <row r="27" spans="1:34" x14ac:dyDescent="0.3">
      <c r="A27">
        <v>2.85</v>
      </c>
      <c r="B27">
        <f t="shared" si="0"/>
        <v>31.338862584997667</v>
      </c>
      <c r="C27">
        <f t="shared" si="1"/>
        <v>10.996092135086901</v>
      </c>
      <c r="D27">
        <f t="shared" si="2"/>
        <v>34.188862584997665</v>
      </c>
      <c r="E27">
        <f t="shared" si="3"/>
        <v>16.543859649122805</v>
      </c>
      <c r="F27">
        <f t="shared" si="4"/>
        <v>1899.4866162823823</v>
      </c>
      <c r="G27">
        <f t="shared" si="5"/>
        <v>1424.6149622117869</v>
      </c>
      <c r="H27">
        <f t="shared" si="6"/>
        <v>1.121997731771265</v>
      </c>
      <c r="I27">
        <f t="shared" si="7"/>
        <v>1187.1791351764891</v>
      </c>
      <c r="J27">
        <f t="shared" si="8"/>
        <v>96.224553857210211</v>
      </c>
      <c r="K27">
        <f t="shared" si="9"/>
        <v>368.31275400000004</v>
      </c>
      <c r="L27">
        <f t="shared" si="13"/>
        <v>10.49489098027237</v>
      </c>
      <c r="M27" s="1">
        <f t="shared" si="10"/>
        <v>10.996092135086901</v>
      </c>
      <c r="N27">
        <f t="shared" si="14"/>
        <v>5.0860938051035101</v>
      </c>
      <c r="O27">
        <f t="shared" si="15"/>
        <v>11.44366341925384</v>
      </c>
      <c r="P27">
        <f t="shared" si="16"/>
        <v>16.951105098128711</v>
      </c>
      <c r="Q27">
        <f t="shared" si="17"/>
        <v>20.768200490096312</v>
      </c>
      <c r="R27">
        <f t="shared" si="18"/>
        <v>25.431421870098667</v>
      </c>
      <c r="S27">
        <v>50</v>
      </c>
      <c r="AD27">
        <f t="shared" si="11"/>
        <v>5.9187952169576752</v>
      </c>
      <c r="AE27">
        <f t="shared" si="12"/>
        <v>25.778943994844539</v>
      </c>
    </row>
    <row r="28" spans="1:34" x14ac:dyDescent="0.3">
      <c r="A28">
        <v>2.9</v>
      </c>
      <c r="B28">
        <f t="shared" si="0"/>
        <v>33.071941925500838</v>
      </c>
      <c r="C28">
        <f t="shared" si="1"/>
        <v>11.404117905345117</v>
      </c>
      <c r="D28">
        <f t="shared" si="2"/>
        <v>35.971941925500836</v>
      </c>
      <c r="E28">
        <f t="shared" si="3"/>
        <v>16.241379310344829</v>
      </c>
      <c r="F28">
        <f t="shared" si="4"/>
        <v>1894.7025206257267</v>
      </c>
      <c r="G28">
        <f t="shared" si="5"/>
        <v>1421.026890469295</v>
      </c>
      <c r="H28">
        <f t="shared" si="6"/>
        <v>1.1173255271910292</v>
      </c>
      <c r="I28">
        <f t="shared" si="7"/>
        <v>1184.1890753910793</v>
      </c>
      <c r="J28">
        <f t="shared" si="8"/>
        <v>92.935070000617131</v>
      </c>
      <c r="K28">
        <f t="shared" si="9"/>
        <v>368.3127540000001</v>
      </c>
      <c r="L28">
        <f t="shared" si="13"/>
        <v>9.7515805229178554</v>
      </c>
      <c r="M28" s="1">
        <f t="shared" si="10"/>
        <v>11.404117905345117</v>
      </c>
      <c r="N28">
        <f t="shared" si="14"/>
        <v>5.4737793401339117</v>
      </c>
      <c r="O28">
        <f t="shared" si="15"/>
        <v>12.315952241561742</v>
      </c>
      <c r="P28">
        <f t="shared" si="16"/>
        <v>18.243196534336672</v>
      </c>
      <c r="Q28">
        <f t="shared" si="17"/>
        <v>22.35124854763362</v>
      </c>
      <c r="R28">
        <f t="shared" si="18"/>
        <v>27.36992217546069</v>
      </c>
      <c r="S28">
        <v>50</v>
      </c>
      <c r="AD28">
        <f t="shared" si="11"/>
        <v>6.121056025369195</v>
      </c>
      <c r="AE28">
        <f t="shared" si="12"/>
        <v>27.910742827654737</v>
      </c>
    </row>
    <row r="29" spans="1:34" x14ac:dyDescent="0.3">
      <c r="A29">
        <v>2.95</v>
      </c>
      <c r="B29">
        <f t="shared" si="0"/>
        <v>34.862914397423573</v>
      </c>
      <c r="C29">
        <f t="shared" si="1"/>
        <v>11.817937083872398</v>
      </c>
      <c r="D29">
        <f t="shared" si="2"/>
        <v>37.812914397423576</v>
      </c>
      <c r="E29">
        <f t="shared" si="3"/>
        <v>15.949152542372879</v>
      </c>
      <c r="F29">
        <f t="shared" si="4"/>
        <v>1890.0119507019945</v>
      </c>
      <c r="G29">
        <f t="shared" si="5"/>
        <v>1417.5089630264958</v>
      </c>
      <c r="H29">
        <f t="shared" si="6"/>
        <v>1.1129388422185227</v>
      </c>
      <c r="I29">
        <f t="shared" si="7"/>
        <v>1181.2574691887467</v>
      </c>
      <c r="J29">
        <f t="shared" si="8"/>
        <v>89.811426452765275</v>
      </c>
      <c r="K29">
        <f t="shared" si="9"/>
        <v>368.31275399999993</v>
      </c>
      <c r="L29">
        <f t="shared" si="13"/>
        <v>9.0770432004226453</v>
      </c>
      <c r="M29" s="1">
        <f t="shared" si="10"/>
        <v>11.817937083872398</v>
      </c>
      <c r="N29">
        <f t="shared" si="14"/>
        <v>5.8805492957788958</v>
      </c>
      <c r="O29">
        <f t="shared" si="15"/>
        <v>13.23118083148573</v>
      </c>
      <c r="P29">
        <f t="shared" si="16"/>
        <v>19.598893171701178</v>
      </c>
      <c r="Q29">
        <f t="shared" si="17"/>
        <v>24.012224596424897</v>
      </c>
      <c r="R29">
        <f t="shared" si="18"/>
        <v>29.403848159230154</v>
      </c>
      <c r="S29">
        <v>50</v>
      </c>
      <c r="AD29">
        <f t="shared" si="11"/>
        <v>6.3263206077681442</v>
      </c>
      <c r="AE29">
        <f t="shared" si="12"/>
        <v>30.157851520619687</v>
      </c>
    </row>
    <row r="30" spans="1:34" x14ac:dyDescent="0.3">
      <c r="A30">
        <v>3</v>
      </c>
      <c r="B30">
        <f t="shared" si="0"/>
        <v>36.712658956014231</v>
      </c>
      <c r="C30">
        <f t="shared" si="1"/>
        <v>12.237552985338077</v>
      </c>
      <c r="D30">
        <f t="shared" si="2"/>
        <v>39.712658956014231</v>
      </c>
      <c r="E30">
        <f t="shared" si="3"/>
        <v>15.666666666666668</v>
      </c>
      <c r="F30">
        <f t="shared" si="4"/>
        <v>1885.4115387559352</v>
      </c>
      <c r="G30">
        <f t="shared" si="5"/>
        <v>1414.0586540669515</v>
      </c>
      <c r="H30">
        <f t="shared" si="6"/>
        <v>1.1088134262880367</v>
      </c>
      <c r="I30">
        <f t="shared" si="7"/>
        <v>1178.3822117224597</v>
      </c>
      <c r="J30">
        <f t="shared" si="8"/>
        <v>86.842659856132229</v>
      </c>
      <c r="K30">
        <f t="shared" si="9"/>
        <v>368.31275400000004</v>
      </c>
      <c r="L30">
        <f>(81000*(A30)^4)/(E30*(B30)^3)</f>
        <v>8.4634204166994742</v>
      </c>
      <c r="M30">
        <f t="shared" si="10"/>
        <v>12.237552985338077</v>
      </c>
      <c r="N30">
        <f t="shared" si="14"/>
        <v>6.3069063536862684</v>
      </c>
      <c r="O30">
        <f t="shared" si="15"/>
        <v>14.190480218024669</v>
      </c>
      <c r="P30">
        <f t="shared" si="16"/>
        <v>21.01987036458442</v>
      </c>
      <c r="Q30">
        <f t="shared" si="17"/>
        <v>25.753181251629119</v>
      </c>
      <c r="R30">
        <f t="shared" si="18"/>
        <v>31.535713323820019</v>
      </c>
      <c r="S30">
        <v>50</v>
      </c>
      <c r="AD30">
        <f t="shared" si="11"/>
        <v>6.5345815275270525</v>
      </c>
      <c r="AE30">
        <f t="shared" si="12"/>
        <v>32.523883448607208</v>
      </c>
    </row>
    <row r="31" spans="1:34" x14ac:dyDescent="0.3">
      <c r="A31">
        <v>3.0499999999999901</v>
      </c>
      <c r="B31">
        <f t="shared" si="0"/>
        <v>38.622050029355584</v>
      </c>
      <c r="C31">
        <f t="shared" si="1"/>
        <v>12.662967222739578</v>
      </c>
      <c r="D31">
        <f t="shared" si="2"/>
        <v>41.672050029355574</v>
      </c>
      <c r="E31">
        <f t="shared" si="3"/>
        <v>15.393442622950872</v>
      </c>
      <c r="F31">
        <f t="shared" si="4"/>
        <v>1880.8980919048213</v>
      </c>
      <c r="G31">
        <f t="shared" si="5"/>
        <v>1410.6735689286161</v>
      </c>
      <c r="H31">
        <f t="shared" si="6"/>
        <v>1.1049276789424878</v>
      </c>
      <c r="I31">
        <f t="shared" si="7"/>
        <v>1175.5613074405135</v>
      </c>
      <c r="J31">
        <f t="shared" si="8"/>
        <v>84.018698060219847</v>
      </c>
      <c r="K31">
        <f t="shared" si="9"/>
        <v>368.31275400000004</v>
      </c>
      <c r="L31">
        <f t="shared" ref="L31:L36" si="20">(81000*(A31)^4)/(E31*(B31)^3)</f>
        <v>7.9039221276559388</v>
      </c>
      <c r="M31">
        <f t="shared" si="10"/>
        <v>12.662967222739578</v>
      </c>
      <c r="N31">
        <f t="shared" si="14"/>
        <v>6.7533560095727161</v>
      </c>
      <c r="O31">
        <f t="shared" si="15"/>
        <v>15.194987761806045</v>
      </c>
      <c r="P31">
        <f t="shared" si="16"/>
        <v>22.507812846172321</v>
      </c>
      <c r="Q31">
        <f t="shared" si="17"/>
        <v>27.576182619177736</v>
      </c>
      <c r="R31">
        <f t="shared" si="18"/>
        <v>33.768045242514852</v>
      </c>
      <c r="S31">
        <v>50</v>
      </c>
      <c r="AD31">
        <f t="shared" si="11"/>
        <v>6.745831490973222</v>
      </c>
      <c r="AE31">
        <f t="shared" si="12"/>
        <v>35.012495268146168</v>
      </c>
    </row>
    <row r="32" spans="1:34" x14ac:dyDescent="0.3">
      <c r="A32">
        <v>3.0999999999999899</v>
      </c>
      <c r="B32">
        <f t="shared" si="0"/>
        <v>40.59195788521388</v>
      </c>
      <c r="C32">
        <f t="shared" si="1"/>
        <v>13.094179962972262</v>
      </c>
      <c r="D32">
        <f t="shared" si="2"/>
        <v>43.691957885213867</v>
      </c>
      <c r="E32">
        <f t="shared" si="3"/>
        <v>15.129032258064569</v>
      </c>
      <c r="F32">
        <f t="shared" si="4"/>
        <v>1876.4685803650214</v>
      </c>
      <c r="G32">
        <f t="shared" si="5"/>
        <v>1407.3514352737661</v>
      </c>
      <c r="H32">
        <f t="shared" si="6"/>
        <v>1.1012622955716389</v>
      </c>
      <c r="I32">
        <f t="shared" si="7"/>
        <v>1172.7928627281385</v>
      </c>
      <c r="J32">
        <f t="shared" si="8"/>
        <v>81.330274579104596</v>
      </c>
      <c r="K32">
        <f t="shared" si="9"/>
        <v>368.3127540000001</v>
      </c>
      <c r="L32">
        <f t="shared" si="20"/>
        <v>7.392658547815925</v>
      </c>
      <c r="M32">
        <f t="shared" si="10"/>
        <v>13.094179962972262</v>
      </c>
      <c r="N32">
        <f t="shared" si="14"/>
        <v>7.2204065228698964</v>
      </c>
      <c r="O32">
        <f t="shared" si="15"/>
        <v>16.245847041790146</v>
      </c>
      <c r="P32">
        <f t="shared" si="16"/>
        <v>24.064414560653351</v>
      </c>
      <c r="Q32">
        <f t="shared" si="17"/>
        <v>29.483304090163038</v>
      </c>
      <c r="R32">
        <f t="shared" si="18"/>
        <v>36.103385307691845</v>
      </c>
      <c r="S32">
        <v>50</v>
      </c>
      <c r="AD32">
        <f t="shared" si="11"/>
        <v>6.9600633423254958</v>
      </c>
      <c r="AE32">
        <f t="shared" si="12"/>
        <v>37.627386715694904</v>
      </c>
    </row>
    <row r="33" spans="1:31" x14ac:dyDescent="0.3">
      <c r="A33">
        <v>3.1499999999999901</v>
      </c>
      <c r="B33">
        <f t="shared" si="0"/>
        <v>42.623248944161347</v>
      </c>
      <c r="C33">
        <f t="shared" si="1"/>
        <v>13.531190141003645</v>
      </c>
      <c r="D33">
        <f t="shared" si="2"/>
        <v>45.773248944161338</v>
      </c>
      <c r="E33">
        <f t="shared" si="3"/>
        <v>14.873015873015923</v>
      </c>
      <c r="F33">
        <f t="shared" si="4"/>
        <v>1872.1201266467597</v>
      </c>
      <c r="G33">
        <f t="shared" si="5"/>
        <v>1404.0900949850698</v>
      </c>
      <c r="H33">
        <f t="shared" si="6"/>
        <v>1.0977999690333879</v>
      </c>
      <c r="I33">
        <f t="shared" si="7"/>
        <v>1170.0750791542248</v>
      </c>
      <c r="J33">
        <f t="shared" si="8"/>
        <v>78.768852477217933</v>
      </c>
      <c r="K33">
        <f t="shared" si="9"/>
        <v>368.31275400000004</v>
      </c>
      <c r="L33">
        <f t="shared" si="20"/>
        <v>6.9245019322424444</v>
      </c>
      <c r="M33">
        <f t="shared" si="10"/>
        <v>13.531190141003645</v>
      </c>
      <c r="N33">
        <f t="shared" si="14"/>
        <v>7.7085688649254172</v>
      </c>
      <c r="O33">
        <f t="shared" si="15"/>
        <v>17.344207738722744</v>
      </c>
      <c r="P33">
        <f t="shared" si="16"/>
        <v>25.691378490580984</v>
      </c>
      <c r="Q33">
        <f t="shared" si="17"/>
        <v>31.47663212932564</v>
      </c>
      <c r="R33">
        <f t="shared" si="18"/>
        <v>38.544288471815989</v>
      </c>
      <c r="S33">
        <v>50</v>
      </c>
      <c r="AD33">
        <f t="shared" si="11"/>
        <v>7.1772700588893432</v>
      </c>
      <c r="AE33">
        <f t="shared" si="12"/>
        <v>40.372300409895423</v>
      </c>
    </row>
    <row r="34" spans="1:31" x14ac:dyDescent="0.3">
      <c r="A34">
        <v>3.19999999999999</v>
      </c>
      <c r="B34">
        <f t="shared" si="0"/>
        <v>44.716786048684135</v>
      </c>
      <c r="C34">
        <f t="shared" si="1"/>
        <v>13.973995640213836</v>
      </c>
      <c r="D34">
        <f t="shared" si="2"/>
        <v>47.916786048684124</v>
      </c>
      <c r="E34">
        <f t="shared" si="3"/>
        <v>14.62500000000005</v>
      </c>
      <c r="F34">
        <f t="shared" si="4"/>
        <v>1867.8499956234459</v>
      </c>
      <c r="G34">
        <f t="shared" si="5"/>
        <v>1400.8874967175843</v>
      </c>
      <c r="H34">
        <f t="shared" si="6"/>
        <v>1.0945251370318652</v>
      </c>
      <c r="I34">
        <f t="shared" si="7"/>
        <v>1167.4062472646538</v>
      </c>
      <c r="J34">
        <f t="shared" si="8"/>
        <v>76.326556514179188</v>
      </c>
      <c r="K34">
        <f t="shared" si="9"/>
        <v>368.31275399999998</v>
      </c>
      <c r="L34">
        <f t="shared" si="20"/>
        <v>6.4949724340267414</v>
      </c>
      <c r="M34">
        <f t="shared" si="10"/>
        <v>13.973995640213836</v>
      </c>
      <c r="N34">
        <f t="shared" si="14"/>
        <v>8.2183566662047873</v>
      </c>
      <c r="O34">
        <f t="shared" si="15"/>
        <v>18.49122551633997</v>
      </c>
      <c r="P34">
        <f t="shared" si="16"/>
        <v>27.390416480906584</v>
      </c>
      <c r="Q34">
        <f t="shared" si="17"/>
        <v>33.558264059462616</v>
      </c>
      <c r="R34">
        <f t="shared" si="18"/>
        <v>41.093322983439947</v>
      </c>
      <c r="S34">
        <v>50</v>
      </c>
      <c r="AD34">
        <f t="shared" si="11"/>
        <v>7.3974447464938669</v>
      </c>
      <c r="AE34">
        <f t="shared" si="12"/>
        <v>43.251021657688909</v>
      </c>
    </row>
    <row r="35" spans="1:31" x14ac:dyDescent="0.3">
      <c r="A35">
        <v>3.2499999999999898</v>
      </c>
      <c r="B35">
        <f t="shared" si="0"/>
        <v>46.873428695976621</v>
      </c>
      <c r="C35">
        <f t="shared" si="1"/>
        <v>14.422593444915929</v>
      </c>
      <c r="D35">
        <f t="shared" si="2"/>
        <v>50.123428695976614</v>
      </c>
      <c r="E35">
        <f t="shared" si="3"/>
        <v>14.384615384615433</v>
      </c>
      <c r="F35">
        <f t="shared" si="4"/>
        <v>1863.6555853923517</v>
      </c>
      <c r="G35">
        <f t="shared" si="5"/>
        <v>1397.7416890442637</v>
      </c>
      <c r="H35">
        <f t="shared" si="6"/>
        <v>1.0914237671906206</v>
      </c>
      <c r="I35">
        <f t="shared" si="7"/>
        <v>1164.7847408702198</v>
      </c>
      <c r="J35">
        <f t="shared" si="8"/>
        <v>73.996112540136807</v>
      </c>
      <c r="K35">
        <f t="shared" si="9"/>
        <v>368.3127540000001</v>
      </c>
      <c r="L35">
        <f t="shared" si="20"/>
        <v>6.1001433560773304</v>
      </c>
      <c r="M35">
        <f t="shared" si="10"/>
        <v>14.422593444915929</v>
      </c>
      <c r="N35">
        <f t="shared" si="14"/>
        <v>8.750286162836094</v>
      </c>
      <c r="O35">
        <f t="shared" si="15"/>
        <v>19.688061901094365</v>
      </c>
      <c r="P35">
        <f t="shared" si="16"/>
        <v>29.163249060821713</v>
      </c>
      <c r="Q35">
        <f t="shared" si="17"/>
        <v>35.73030784315177</v>
      </c>
      <c r="R35">
        <f t="shared" si="18"/>
        <v>43.753070119917446</v>
      </c>
      <c r="S35">
        <v>50</v>
      </c>
      <c r="AD35">
        <f t="shared" si="11"/>
        <v>7.6205806351544467</v>
      </c>
      <c r="AE35">
        <f t="shared" si="12"/>
        <v>46.267378264159277</v>
      </c>
    </row>
    <row r="36" spans="1:31" x14ac:dyDescent="0.3">
      <c r="A36">
        <v>3.2999999999999901</v>
      </c>
      <c r="B36">
        <f t="shared" si="0"/>
        <v>49.094033240587621</v>
      </c>
      <c r="C36">
        <f t="shared" si="1"/>
        <v>14.876979769875081</v>
      </c>
      <c r="D36">
        <f t="shared" si="2"/>
        <v>52.394033240587611</v>
      </c>
      <c r="E36">
        <f t="shared" si="3"/>
        <v>14.151515151515197</v>
      </c>
      <c r="F36">
        <f t="shared" si="4"/>
        <v>1859.5344188524596</v>
      </c>
      <c r="G36">
        <f t="shared" si="5"/>
        <v>1394.6508141393447</v>
      </c>
      <c r="H36">
        <f t="shared" si="6"/>
        <v>1.0884831733578006</v>
      </c>
      <c r="I36">
        <f t="shared" si="7"/>
        <v>1162.2090117827872</v>
      </c>
      <c r="J36">
        <f t="shared" si="8"/>
        <v>71.770793269531197</v>
      </c>
      <c r="K36">
        <f t="shared" si="9"/>
        <v>368.31275399999998</v>
      </c>
      <c r="L36">
        <f t="shared" si="20"/>
        <v>5.7365621187245575</v>
      </c>
      <c r="M36">
        <f t="shared" si="10"/>
        <v>14.876979769875081</v>
      </c>
      <c r="N36">
        <f t="shared" si="14"/>
        <v>9.3048761427633302</v>
      </c>
      <c r="O36">
        <f t="shared" si="15"/>
        <v>20.935884161000338</v>
      </c>
      <c r="P36">
        <f t="shared" si="16"/>
        <v>31.011605264296087</v>
      </c>
      <c r="Q36">
        <f t="shared" si="17"/>
        <v>37.994881862877882</v>
      </c>
      <c r="R36">
        <f t="shared" si="18"/>
        <v>46.526123918159783</v>
      </c>
      <c r="S36">
        <v>50</v>
      </c>
      <c r="AD36">
        <f t="shared" si="11"/>
        <v>7.8466710749467152</v>
      </c>
      <c r="AE36">
        <f t="shared" si="12"/>
        <v>49.425240345985372</v>
      </c>
    </row>
    <row r="38" spans="1:31" x14ac:dyDescent="0.3">
      <c r="A38">
        <v>0.05</v>
      </c>
      <c r="B38">
        <f t="shared" ref="B38:B68" si="21">C38*A38</f>
        <v>-5.3034048747230007E-4</v>
      </c>
      <c r="C38">
        <f t="shared" ref="C38:C68" si="22">AD38+SQRT(AE38)</f>
        <v>-1.0606809749446E-2</v>
      </c>
      <c r="D38">
        <f t="shared" ref="D38:D68" si="23">B38+A38</f>
        <v>4.94696595125277E-2</v>
      </c>
      <c r="E38">
        <f t="shared" ref="E38:E68" si="24">(S38/A38)-1</f>
        <v>999</v>
      </c>
      <c r="F38">
        <f t="shared" ref="F38:F68" si="25">2211/(A38)^0.145</f>
        <v>3413.8001406231042</v>
      </c>
      <c r="G38">
        <f t="shared" ref="G38:G68" si="26">0.75*F38</f>
        <v>2560.3501054673279</v>
      </c>
      <c r="H38">
        <f t="shared" ref="H38:H68" si="27">(4*C38+2)/(4*C38-3)</f>
        <v>-0.64342467616318944</v>
      </c>
      <c r="I38">
        <f t="shared" ref="I38:I68" si="28">G38/1.2</f>
        <v>2133.6250878894402</v>
      </c>
      <c r="J38">
        <f t="shared" ref="J38:J68" si="29">(8*(1+0.15)*266.8933)/(PI()*A38*A38)</f>
        <v>312633.57548207598</v>
      </c>
      <c r="K38">
        <f t="shared" ref="K38:K68" si="30">(PI()*G38*(A38)^3)/(8*H38*B38)</f>
        <v>368.31275400000015</v>
      </c>
      <c r="L38">
        <f>(80000*(A38)^4)/(E38*(B38)^3)</f>
        <v>-3355368.0565971406</v>
      </c>
      <c r="M38">
        <f t="shared" ref="M38:M68" si="31">B38/A38</f>
        <v>-1.0606809749446E-2</v>
      </c>
      <c r="N38">
        <f t="shared" si="14"/>
        <v>-1.5908239900851145E-5</v>
      </c>
      <c r="O38">
        <f t="shared" si="15"/>
        <v>-3.5793390761966026E-5</v>
      </c>
      <c r="P38">
        <f t="shared" si="16"/>
        <v>-5.3019518872221124E-5</v>
      </c>
      <c r="Q38">
        <f t="shared" si="17"/>
        <v>-6.4958596590159162E-5</v>
      </c>
      <c r="R38">
        <f t="shared" si="18"/>
        <v>-7.9544179803236735E-5</v>
      </c>
      <c r="S38">
        <v>50</v>
      </c>
      <c r="AD38">
        <f t="shared" ref="AD38:AD68" si="32">(((2*I38)-J38)/(4*J38))</f>
        <v>-0.24658765843591907</v>
      </c>
      <c r="AE38">
        <f t="shared" ref="AE38:AE68" si="33">(((2*I38)-J38)/(4*J38))^2-(3*I38)/(4*J38)</f>
        <v>5.5686960946788093E-2</v>
      </c>
    </row>
    <row r="39" spans="1:31" x14ac:dyDescent="0.3">
      <c r="A39">
        <v>0.1</v>
      </c>
      <c r="B39">
        <f t="shared" si="21"/>
        <v>-4.281234802821463E-3</v>
      </c>
      <c r="C39">
        <f t="shared" si="22"/>
        <v>-4.2812348028214625E-2</v>
      </c>
      <c r="D39">
        <f t="shared" si="23"/>
        <v>9.5718765197178549E-2</v>
      </c>
      <c r="E39">
        <f t="shared" si="24"/>
        <v>499</v>
      </c>
      <c r="F39">
        <f t="shared" si="25"/>
        <v>3087.370446294678</v>
      </c>
      <c r="G39">
        <f t="shared" si="26"/>
        <v>2315.5278347210087</v>
      </c>
      <c r="H39">
        <f t="shared" si="27"/>
        <v>-0.57666565500505418</v>
      </c>
      <c r="I39">
        <f t="shared" si="28"/>
        <v>1929.6065289341741</v>
      </c>
      <c r="J39">
        <f t="shared" si="29"/>
        <v>78158.393870518994</v>
      </c>
      <c r="K39">
        <f t="shared" si="30"/>
        <v>368.31275399999993</v>
      </c>
      <c r="L39">
        <f>(80000*(A39)^4)/(E39*(B39)^3)</f>
        <v>-204306.55448236412</v>
      </c>
      <c r="M39">
        <f t="shared" si="31"/>
        <v>-4.2812348028214625E-2</v>
      </c>
      <c r="N39">
        <f t="shared" si="14"/>
        <v>-2.6126425623122936E-4</v>
      </c>
      <c r="O39">
        <f t="shared" si="15"/>
        <v>-5.8784212921747991E-4</v>
      </c>
      <c r="P39">
        <f t="shared" si="16"/>
        <v>-8.7075033128884E-4</v>
      </c>
      <c r="Q39">
        <f t="shared" si="17"/>
        <v>-1.0668282305099244E-3</v>
      </c>
      <c r="R39">
        <f t="shared" si="18"/>
        <v>-1.3063702272118683E-3</v>
      </c>
      <c r="S39">
        <v>50</v>
      </c>
      <c r="AD39">
        <f t="shared" si="32"/>
        <v>-0.23765579464100264</v>
      </c>
      <c r="AE39">
        <f t="shared" si="33"/>
        <v>3.7963968687950378E-2</v>
      </c>
    </row>
    <row r="40" spans="1:31" x14ac:dyDescent="0.3">
      <c r="A40">
        <v>0.15</v>
      </c>
      <c r="B40">
        <f t="shared" si="21"/>
        <v>-1.7977027286693342E-2</v>
      </c>
      <c r="C40">
        <f t="shared" si="22"/>
        <v>-0.11984684857795562</v>
      </c>
      <c r="D40">
        <f t="shared" si="23"/>
        <v>0.13202297271330665</v>
      </c>
      <c r="E40">
        <f t="shared" si="24"/>
        <v>332.33333333333337</v>
      </c>
      <c r="F40">
        <f t="shared" si="25"/>
        <v>2911.0891796189212</v>
      </c>
      <c r="G40">
        <f t="shared" si="26"/>
        <v>2183.316884714191</v>
      </c>
      <c r="H40">
        <f t="shared" si="27"/>
        <v>-0.4370345791831366</v>
      </c>
      <c r="I40">
        <f t="shared" si="28"/>
        <v>1819.4307372618259</v>
      </c>
      <c r="J40">
        <f t="shared" si="29"/>
        <v>34737.063942452885</v>
      </c>
      <c r="K40">
        <f t="shared" si="30"/>
        <v>368.31275399999998</v>
      </c>
      <c r="L40">
        <f t="shared" ref="L40:L68" si="34">(80000*(A40)^4)/(E40*(B40)^3)</f>
        <v>-20976.23243574809</v>
      </c>
      <c r="M40">
        <f t="shared" si="31"/>
        <v>-0.11984684857795562</v>
      </c>
      <c r="N40">
        <f t="shared" si="14"/>
        <v>-2.5446895749034609E-3</v>
      </c>
      <c r="O40">
        <f t="shared" si="15"/>
        <v>-5.7255277070310927E-3</v>
      </c>
      <c r="P40">
        <f t="shared" si="16"/>
        <v>-8.4810273029211607E-3</v>
      </c>
      <c r="Q40">
        <f t="shared" si="17"/>
        <v>-1.0390807818688568E-2</v>
      </c>
      <c r="R40">
        <f t="shared" si="18"/>
        <v>-1.2723924604551195E-2</v>
      </c>
      <c r="S40">
        <v>50</v>
      </c>
      <c r="AD40">
        <f t="shared" si="32"/>
        <v>-0.22381139148265403</v>
      </c>
      <c r="AE40">
        <f t="shared" si="33"/>
        <v>1.0808626181382876E-2</v>
      </c>
    </row>
    <row r="41" spans="1:31" x14ac:dyDescent="0.3">
      <c r="A41">
        <v>0.2</v>
      </c>
      <c r="B41" t="e">
        <f t="shared" si="21"/>
        <v>#NUM!</v>
      </c>
      <c r="C41" t="e">
        <f t="shared" si="22"/>
        <v>#NUM!</v>
      </c>
      <c r="D41" t="e">
        <f t="shared" si="23"/>
        <v>#NUM!</v>
      </c>
      <c r="E41">
        <f t="shared" si="24"/>
        <v>249</v>
      </c>
      <c r="F41">
        <f t="shared" si="25"/>
        <v>2792.1541625204795</v>
      </c>
      <c r="G41">
        <f t="shared" si="26"/>
        <v>2094.1156218903598</v>
      </c>
      <c r="H41" t="e">
        <f t="shared" si="27"/>
        <v>#NUM!</v>
      </c>
      <c r="I41">
        <f t="shared" si="28"/>
        <v>1745.0963515752999</v>
      </c>
      <c r="J41">
        <f t="shared" si="29"/>
        <v>19539.598467629748</v>
      </c>
      <c r="K41" t="e">
        <f t="shared" si="30"/>
        <v>#NUM!</v>
      </c>
      <c r="L41" t="e">
        <f t="shared" si="34"/>
        <v>#NUM!</v>
      </c>
      <c r="M41" t="e">
        <f t="shared" si="31"/>
        <v>#NUM!</v>
      </c>
      <c r="N41" t="e">
        <f t="shared" si="14"/>
        <v>#NUM!</v>
      </c>
      <c r="O41" t="e">
        <f t="shared" si="15"/>
        <v>#NUM!</v>
      </c>
      <c r="P41" t="e">
        <f t="shared" si="16"/>
        <v>#NUM!</v>
      </c>
      <c r="Q41" t="e">
        <f t="shared" si="17"/>
        <v>#NUM!</v>
      </c>
      <c r="R41" t="e">
        <f t="shared" si="18"/>
        <v>#NUM!</v>
      </c>
      <c r="S41">
        <v>50</v>
      </c>
      <c r="AD41">
        <f t="shared" si="32"/>
        <v>-0.20534462096377487</v>
      </c>
      <c r="AE41">
        <f t="shared" si="33"/>
        <v>-2.4816655195581308E-2</v>
      </c>
    </row>
    <row r="42" spans="1:31" x14ac:dyDescent="0.3">
      <c r="A42">
        <v>0.25</v>
      </c>
      <c r="B42" t="e">
        <f t="shared" si="21"/>
        <v>#NUM!</v>
      </c>
      <c r="C42" t="e">
        <f t="shared" si="22"/>
        <v>#NUM!</v>
      </c>
      <c r="D42" t="e">
        <f t="shared" si="23"/>
        <v>#NUM!</v>
      </c>
      <c r="E42">
        <f t="shared" si="24"/>
        <v>199</v>
      </c>
      <c r="F42">
        <f t="shared" si="25"/>
        <v>2703.2576539771635</v>
      </c>
      <c r="G42">
        <f t="shared" si="26"/>
        <v>2027.4432404828726</v>
      </c>
      <c r="H42" t="e">
        <f t="shared" si="27"/>
        <v>#NUM!</v>
      </c>
      <c r="I42">
        <f t="shared" si="28"/>
        <v>1689.5360337357272</v>
      </c>
      <c r="J42">
        <f t="shared" si="29"/>
        <v>12505.34301928304</v>
      </c>
      <c r="K42" t="e">
        <f t="shared" si="30"/>
        <v>#NUM!</v>
      </c>
      <c r="L42" t="e">
        <f t="shared" si="34"/>
        <v>#NUM!</v>
      </c>
      <c r="M42" t="e">
        <f t="shared" si="31"/>
        <v>#NUM!</v>
      </c>
      <c r="N42" t="e">
        <f t="shared" si="14"/>
        <v>#NUM!</v>
      </c>
      <c r="O42" t="e">
        <f t="shared" si="15"/>
        <v>#NUM!</v>
      </c>
      <c r="P42" t="e">
        <f t="shared" si="16"/>
        <v>#NUM!</v>
      </c>
      <c r="Q42" t="e">
        <f t="shared" si="17"/>
        <v>#NUM!</v>
      </c>
      <c r="R42" t="e">
        <f t="shared" si="18"/>
        <v>#NUM!</v>
      </c>
      <c r="S42">
        <v>50</v>
      </c>
      <c r="AD42">
        <f t="shared" si="32"/>
        <v>-0.18244743342383773</v>
      </c>
      <c r="AE42">
        <f t="shared" si="33"/>
        <v>-6.8041783901297698E-2</v>
      </c>
    </row>
    <row r="43" spans="1:31" x14ac:dyDescent="0.3">
      <c r="A43">
        <v>0.3</v>
      </c>
      <c r="B43" t="e">
        <f t="shared" si="21"/>
        <v>#NUM!</v>
      </c>
      <c r="C43" t="e">
        <f t="shared" si="22"/>
        <v>#NUM!</v>
      </c>
      <c r="D43" t="e">
        <f t="shared" si="23"/>
        <v>#NUM!</v>
      </c>
      <c r="E43">
        <f t="shared" si="24"/>
        <v>165.66666666666669</v>
      </c>
      <c r="F43">
        <f t="shared" si="25"/>
        <v>2632.7290202885788</v>
      </c>
      <c r="G43">
        <f t="shared" si="26"/>
        <v>1974.5467652164341</v>
      </c>
      <c r="H43" t="e">
        <f t="shared" si="27"/>
        <v>#NUM!</v>
      </c>
      <c r="I43">
        <f t="shared" si="28"/>
        <v>1645.4556376803619</v>
      </c>
      <c r="J43">
        <f t="shared" si="29"/>
        <v>8684.2659856132213</v>
      </c>
      <c r="K43" t="e">
        <f t="shared" si="30"/>
        <v>#NUM!</v>
      </c>
      <c r="L43" t="e">
        <f t="shared" si="34"/>
        <v>#NUM!</v>
      </c>
      <c r="M43" t="e">
        <f t="shared" si="31"/>
        <v>#NUM!</v>
      </c>
      <c r="N43" t="e">
        <f t="shared" si="14"/>
        <v>#NUM!</v>
      </c>
      <c r="O43" t="e">
        <f t="shared" si="15"/>
        <v>#NUM!</v>
      </c>
      <c r="P43" t="e">
        <f t="shared" si="16"/>
        <v>#NUM!</v>
      </c>
      <c r="Q43" t="e">
        <f t="shared" si="17"/>
        <v>#NUM!</v>
      </c>
      <c r="R43" t="e">
        <f t="shared" si="18"/>
        <v>#NUM!</v>
      </c>
      <c r="S43">
        <v>50</v>
      </c>
      <c r="AD43">
        <f t="shared" si="32"/>
        <v>-0.15526225011956657</v>
      </c>
      <c r="AE43">
        <f t="shared" si="33"/>
        <v>-0.11800025850845927</v>
      </c>
    </row>
    <row r="44" spans="1:31" x14ac:dyDescent="0.3">
      <c r="A44">
        <v>0.35</v>
      </c>
      <c r="B44" t="e">
        <f t="shared" si="21"/>
        <v>#NUM!</v>
      </c>
      <c r="C44" t="e">
        <f t="shared" si="22"/>
        <v>#NUM!</v>
      </c>
      <c r="D44" t="e">
        <f t="shared" si="23"/>
        <v>#NUM!</v>
      </c>
      <c r="E44">
        <f t="shared" si="24"/>
        <v>141.85714285714286</v>
      </c>
      <c r="F44">
        <f t="shared" si="25"/>
        <v>2574.5354496250111</v>
      </c>
      <c r="G44">
        <f t="shared" si="26"/>
        <v>1930.9015872187583</v>
      </c>
      <c r="H44" t="e">
        <f t="shared" si="27"/>
        <v>#NUM!</v>
      </c>
      <c r="I44">
        <f t="shared" si="28"/>
        <v>1609.0846560156319</v>
      </c>
      <c r="J44">
        <f t="shared" si="29"/>
        <v>6380.2770506546121</v>
      </c>
      <c r="K44" t="e">
        <f t="shared" si="30"/>
        <v>#NUM!</v>
      </c>
      <c r="L44" t="e">
        <f t="shared" si="34"/>
        <v>#NUM!</v>
      </c>
      <c r="M44" t="e">
        <f t="shared" si="31"/>
        <v>#NUM!</v>
      </c>
      <c r="N44" t="e">
        <f t="shared" si="14"/>
        <v>#NUM!</v>
      </c>
      <c r="O44" t="e">
        <f t="shared" si="15"/>
        <v>#NUM!</v>
      </c>
      <c r="P44" t="e">
        <f t="shared" si="16"/>
        <v>#NUM!</v>
      </c>
      <c r="Q44" t="e">
        <f t="shared" si="17"/>
        <v>#NUM!</v>
      </c>
      <c r="R44" t="e">
        <f t="shared" si="18"/>
        <v>#NUM!</v>
      </c>
      <c r="S44">
        <v>50</v>
      </c>
      <c r="AD44">
        <f t="shared" si="32"/>
        <v>-0.12390166263622197</v>
      </c>
      <c r="AE44">
        <f t="shared" si="33"/>
        <v>-0.17379588404164692</v>
      </c>
    </row>
    <row r="45" spans="1:31" x14ac:dyDescent="0.3">
      <c r="A45">
        <v>0.4</v>
      </c>
      <c r="B45" t="e">
        <f t="shared" si="21"/>
        <v>#NUM!</v>
      </c>
      <c r="C45" t="e">
        <f t="shared" si="22"/>
        <v>#NUM!</v>
      </c>
      <c r="D45" t="e">
        <f t="shared" si="23"/>
        <v>#NUM!</v>
      </c>
      <c r="E45">
        <f t="shared" si="24"/>
        <v>124</v>
      </c>
      <c r="F45">
        <f t="shared" si="25"/>
        <v>2525.1666435548727</v>
      </c>
      <c r="G45">
        <f t="shared" si="26"/>
        <v>1893.8749826661547</v>
      </c>
      <c r="H45" t="e">
        <f t="shared" si="27"/>
        <v>#NUM!</v>
      </c>
      <c r="I45">
        <f t="shared" si="28"/>
        <v>1578.2291522217956</v>
      </c>
      <c r="J45">
        <f t="shared" si="29"/>
        <v>4884.8996169074371</v>
      </c>
      <c r="K45" t="e">
        <f t="shared" si="30"/>
        <v>#NUM!</v>
      </c>
      <c r="L45" t="e">
        <f t="shared" si="34"/>
        <v>#NUM!</v>
      </c>
      <c r="M45" t="e">
        <f t="shared" si="31"/>
        <v>#NUM!</v>
      </c>
      <c r="N45" t="e">
        <f t="shared" si="14"/>
        <v>#NUM!</v>
      </c>
      <c r="O45" t="e">
        <f t="shared" si="15"/>
        <v>#NUM!</v>
      </c>
      <c r="P45" t="e">
        <f t="shared" si="16"/>
        <v>#NUM!</v>
      </c>
      <c r="Q45" t="e">
        <f t="shared" si="17"/>
        <v>#NUM!</v>
      </c>
      <c r="R45" t="e">
        <f t="shared" si="18"/>
        <v>#NUM!</v>
      </c>
      <c r="S45">
        <v>50</v>
      </c>
      <c r="AD45">
        <f t="shared" si="32"/>
        <v>-8.8458384409857038E-2</v>
      </c>
      <c r="AE45">
        <f t="shared" si="33"/>
        <v>-0.23448753761281241</v>
      </c>
    </row>
    <row r="46" spans="1:31" x14ac:dyDescent="0.3">
      <c r="A46">
        <v>0.45</v>
      </c>
      <c r="B46" t="e">
        <f t="shared" si="21"/>
        <v>#NUM!</v>
      </c>
      <c r="C46" t="e">
        <f t="shared" si="22"/>
        <v>#NUM!</v>
      </c>
      <c r="D46" t="e">
        <f t="shared" si="23"/>
        <v>#NUM!</v>
      </c>
      <c r="E46">
        <f t="shared" si="24"/>
        <v>110.11111111111111</v>
      </c>
      <c r="F46">
        <f t="shared" si="25"/>
        <v>2482.4066619633936</v>
      </c>
      <c r="G46">
        <f t="shared" si="26"/>
        <v>1861.8049964725451</v>
      </c>
      <c r="H46" t="e">
        <f t="shared" si="27"/>
        <v>#NUM!</v>
      </c>
      <c r="I46">
        <f t="shared" si="28"/>
        <v>1551.5041637271211</v>
      </c>
      <c r="J46">
        <f t="shared" si="29"/>
        <v>3859.6737713836542</v>
      </c>
      <c r="K46" t="e">
        <f t="shared" si="30"/>
        <v>#NUM!</v>
      </c>
      <c r="L46" t="e">
        <f t="shared" si="34"/>
        <v>#NUM!</v>
      </c>
      <c r="M46" t="e">
        <f t="shared" si="31"/>
        <v>#NUM!</v>
      </c>
      <c r="N46" t="e">
        <f t="shared" si="14"/>
        <v>#NUM!</v>
      </c>
      <c r="O46" t="e">
        <f t="shared" si="15"/>
        <v>#NUM!</v>
      </c>
      <c r="P46" t="e">
        <f t="shared" si="16"/>
        <v>#NUM!</v>
      </c>
      <c r="Q46" t="e">
        <f t="shared" si="17"/>
        <v>#NUM!</v>
      </c>
      <c r="R46" t="e">
        <f t="shared" si="18"/>
        <v>#NUM!</v>
      </c>
      <c r="S46">
        <v>50</v>
      </c>
      <c r="AD46">
        <f t="shared" si="32"/>
        <v>-4.9010971441386553E-2</v>
      </c>
      <c r="AE46">
        <f t="shared" si="33"/>
        <v>-0.29908146751629178</v>
      </c>
    </row>
    <row r="47" spans="1:31" x14ac:dyDescent="0.3">
      <c r="A47">
        <v>0.5</v>
      </c>
      <c r="B47" t="e">
        <f t="shared" si="21"/>
        <v>#NUM!</v>
      </c>
      <c r="C47" t="e">
        <f t="shared" si="22"/>
        <v>#NUM!</v>
      </c>
      <c r="D47" t="e">
        <f t="shared" si="23"/>
        <v>#NUM!</v>
      </c>
      <c r="E47">
        <f t="shared" si="24"/>
        <v>99</v>
      </c>
      <c r="F47">
        <f t="shared" si="25"/>
        <v>2444.7704744911143</v>
      </c>
      <c r="G47">
        <f t="shared" si="26"/>
        <v>1833.5778558683357</v>
      </c>
      <c r="H47" t="e">
        <f t="shared" si="27"/>
        <v>#NUM!</v>
      </c>
      <c r="I47">
        <f t="shared" si="28"/>
        <v>1527.9815465569466</v>
      </c>
      <c r="J47">
        <f t="shared" si="29"/>
        <v>3126.33575482076</v>
      </c>
      <c r="K47" t="e">
        <f t="shared" si="30"/>
        <v>#NUM!</v>
      </c>
      <c r="L47" t="e">
        <f t="shared" si="34"/>
        <v>#NUM!</v>
      </c>
      <c r="M47" t="e">
        <f t="shared" si="31"/>
        <v>#NUM!</v>
      </c>
      <c r="N47" t="e">
        <f t="shared" si="14"/>
        <v>#NUM!</v>
      </c>
      <c r="O47" t="e">
        <f t="shared" si="15"/>
        <v>#NUM!</v>
      </c>
      <c r="P47" t="e">
        <f t="shared" si="16"/>
        <v>#NUM!</v>
      </c>
      <c r="Q47" t="e">
        <f t="shared" si="17"/>
        <v>#NUM!</v>
      </c>
      <c r="R47" t="e">
        <f t="shared" si="18"/>
        <v>#NUM!</v>
      </c>
      <c r="S47">
        <v>50</v>
      </c>
      <c r="AD47">
        <f t="shared" si="32"/>
        <v>-5.6274075487856168E-3</v>
      </c>
      <c r="AE47">
        <f t="shared" si="33"/>
        <v>-0.36652722096110146</v>
      </c>
    </row>
    <row r="48" spans="1:31" x14ac:dyDescent="0.3">
      <c r="A48">
        <v>0.55000000000000004</v>
      </c>
      <c r="B48" t="e">
        <f t="shared" si="21"/>
        <v>#NUM!</v>
      </c>
      <c r="C48" t="e">
        <f t="shared" si="22"/>
        <v>#NUM!</v>
      </c>
      <c r="D48" t="e">
        <f t="shared" si="23"/>
        <v>#NUM!</v>
      </c>
      <c r="E48">
        <f t="shared" si="24"/>
        <v>89.909090909090907</v>
      </c>
      <c r="F48">
        <f t="shared" si="25"/>
        <v>2411.2161987245463</v>
      </c>
      <c r="G48">
        <f t="shared" si="26"/>
        <v>1808.4121490434097</v>
      </c>
      <c r="H48" t="e">
        <f t="shared" si="27"/>
        <v>#NUM!</v>
      </c>
      <c r="I48">
        <f t="shared" si="28"/>
        <v>1507.0101242028416</v>
      </c>
      <c r="J48">
        <f t="shared" si="29"/>
        <v>2583.7485577031071</v>
      </c>
      <c r="K48" t="e">
        <f t="shared" si="30"/>
        <v>#NUM!</v>
      </c>
      <c r="L48" t="e">
        <f t="shared" si="34"/>
        <v>#NUM!</v>
      </c>
      <c r="M48" t="e">
        <f t="shared" si="31"/>
        <v>#NUM!</v>
      </c>
      <c r="N48" t="e">
        <f t="shared" si="14"/>
        <v>#NUM!</v>
      </c>
      <c r="O48" t="e">
        <f t="shared" si="15"/>
        <v>#NUM!</v>
      </c>
      <c r="P48" t="e">
        <f t="shared" si="16"/>
        <v>#NUM!</v>
      </c>
      <c r="Q48" t="e">
        <f t="shared" si="17"/>
        <v>#NUM!</v>
      </c>
      <c r="R48" t="e">
        <f t="shared" si="18"/>
        <v>#NUM!</v>
      </c>
      <c r="S48">
        <v>50</v>
      </c>
      <c r="AD48">
        <f t="shared" si="32"/>
        <v>4.1632504198190791E-2</v>
      </c>
      <c r="AE48">
        <f t="shared" si="33"/>
        <v>-0.43571549089147382</v>
      </c>
    </row>
    <row r="49" spans="1:31" x14ac:dyDescent="0.3">
      <c r="A49">
        <v>0.6</v>
      </c>
      <c r="B49" t="e">
        <f t="shared" si="21"/>
        <v>#NUM!</v>
      </c>
      <c r="C49" t="e">
        <f t="shared" si="22"/>
        <v>#NUM!</v>
      </c>
      <c r="D49" t="e">
        <f t="shared" si="23"/>
        <v>#NUM!</v>
      </c>
      <c r="E49">
        <f t="shared" si="24"/>
        <v>82.333333333333343</v>
      </c>
      <c r="F49">
        <f t="shared" si="25"/>
        <v>2380.9858326555977</v>
      </c>
      <c r="G49">
        <f t="shared" si="26"/>
        <v>1785.7393744916983</v>
      </c>
      <c r="H49" t="e">
        <f t="shared" si="27"/>
        <v>#NUM!</v>
      </c>
      <c r="I49">
        <f t="shared" si="28"/>
        <v>1488.1161454097487</v>
      </c>
      <c r="J49">
        <f t="shared" si="29"/>
        <v>2171.0664964033053</v>
      </c>
      <c r="K49" t="e">
        <f t="shared" si="30"/>
        <v>#NUM!</v>
      </c>
      <c r="L49" t="e">
        <f t="shared" si="34"/>
        <v>#NUM!</v>
      </c>
      <c r="M49" t="e">
        <f t="shared" si="31"/>
        <v>#NUM!</v>
      </c>
      <c r="N49" t="e">
        <f t="shared" si="14"/>
        <v>#NUM!</v>
      </c>
      <c r="O49" t="e">
        <f t="shared" si="15"/>
        <v>#NUM!</v>
      </c>
      <c r="P49" t="e">
        <f t="shared" si="16"/>
        <v>#NUM!</v>
      </c>
      <c r="Q49" t="e">
        <f t="shared" si="17"/>
        <v>#NUM!</v>
      </c>
      <c r="R49" t="e">
        <f t="shared" si="18"/>
        <v>#NUM!</v>
      </c>
      <c r="S49">
        <v>50</v>
      </c>
      <c r="AD49">
        <f t="shared" si="32"/>
        <v>9.2715469073617621E-2</v>
      </c>
      <c r="AE49">
        <f t="shared" si="33"/>
        <v>-0.50547704540488547</v>
      </c>
    </row>
    <row r="50" spans="1:31" x14ac:dyDescent="0.3">
      <c r="A50">
        <v>0.65</v>
      </c>
      <c r="B50" t="e">
        <f t="shared" si="21"/>
        <v>#NUM!</v>
      </c>
      <c r="C50" t="e">
        <f t="shared" si="22"/>
        <v>#NUM!</v>
      </c>
      <c r="D50" t="e">
        <f t="shared" si="23"/>
        <v>#NUM!</v>
      </c>
      <c r="E50">
        <f t="shared" si="24"/>
        <v>75.92307692307692</v>
      </c>
      <c r="F50">
        <f t="shared" si="25"/>
        <v>2353.5113976742618</v>
      </c>
      <c r="G50">
        <f t="shared" si="26"/>
        <v>1765.1335482556965</v>
      </c>
      <c r="H50" t="e">
        <f t="shared" si="27"/>
        <v>#NUM!</v>
      </c>
      <c r="I50">
        <f t="shared" si="28"/>
        <v>1470.9446235464138</v>
      </c>
      <c r="J50">
        <f t="shared" si="29"/>
        <v>1849.9028135034082</v>
      </c>
      <c r="K50" t="e">
        <f t="shared" si="30"/>
        <v>#NUM!</v>
      </c>
      <c r="L50" t="e">
        <f t="shared" si="34"/>
        <v>#NUM!</v>
      </c>
      <c r="M50" t="e">
        <f t="shared" si="31"/>
        <v>#NUM!</v>
      </c>
      <c r="N50" t="e">
        <f t="shared" si="14"/>
        <v>#NUM!</v>
      </c>
      <c r="O50" t="e">
        <f t="shared" si="15"/>
        <v>#NUM!</v>
      </c>
      <c r="P50" t="e">
        <f t="shared" si="16"/>
        <v>#NUM!</v>
      </c>
      <c r="Q50" t="e">
        <f t="shared" si="17"/>
        <v>#NUM!</v>
      </c>
      <c r="R50" t="e">
        <f t="shared" si="18"/>
        <v>#NUM!</v>
      </c>
      <c r="S50">
        <v>50</v>
      </c>
      <c r="AD50">
        <f t="shared" si="32"/>
        <v>0.147573486782446</v>
      </c>
      <c r="AE50">
        <f t="shared" si="33"/>
        <v>-0.5745822961725402</v>
      </c>
    </row>
    <row r="51" spans="1:31" x14ac:dyDescent="0.3">
      <c r="A51">
        <v>0.7</v>
      </c>
      <c r="B51" t="e">
        <f t="shared" si="21"/>
        <v>#NUM!</v>
      </c>
      <c r="C51" t="e">
        <f t="shared" si="22"/>
        <v>#NUM!</v>
      </c>
      <c r="D51" t="e">
        <f t="shared" si="23"/>
        <v>#NUM!</v>
      </c>
      <c r="E51">
        <f t="shared" si="24"/>
        <v>70.428571428571431</v>
      </c>
      <c r="F51">
        <f t="shared" si="25"/>
        <v>2328.3567674408237</v>
      </c>
      <c r="G51">
        <f t="shared" si="26"/>
        <v>1746.2675755806176</v>
      </c>
      <c r="H51" t="e">
        <f t="shared" si="27"/>
        <v>#NUM!</v>
      </c>
      <c r="I51">
        <f t="shared" si="28"/>
        <v>1455.2229796505148</v>
      </c>
      <c r="J51">
        <f t="shared" si="29"/>
        <v>1595.069262663653</v>
      </c>
      <c r="K51" t="e">
        <f t="shared" si="30"/>
        <v>#NUM!</v>
      </c>
      <c r="L51" t="e">
        <f t="shared" si="34"/>
        <v>#NUM!</v>
      </c>
      <c r="M51" t="e">
        <f t="shared" si="31"/>
        <v>#NUM!</v>
      </c>
      <c r="N51" t="e">
        <f t="shared" si="14"/>
        <v>#NUM!</v>
      </c>
      <c r="O51" t="e">
        <f t="shared" si="15"/>
        <v>#NUM!</v>
      </c>
      <c r="P51" t="e">
        <f t="shared" si="16"/>
        <v>#NUM!</v>
      </c>
      <c r="Q51" t="e">
        <f t="shared" si="17"/>
        <v>#NUM!</v>
      </c>
      <c r="R51" t="e">
        <f t="shared" si="18"/>
        <v>#NUM!</v>
      </c>
      <c r="S51">
        <v>50</v>
      </c>
      <c r="AD51">
        <f t="shared" si="32"/>
        <v>0.20616294342616673</v>
      </c>
      <c r="AE51">
        <f t="shared" si="33"/>
        <v>-0.6417412558971094</v>
      </c>
    </row>
    <row r="52" spans="1:31" x14ac:dyDescent="0.3">
      <c r="A52">
        <v>0.75</v>
      </c>
      <c r="B52" t="e">
        <f t="shared" si="21"/>
        <v>#NUM!</v>
      </c>
      <c r="C52" t="e">
        <f t="shared" si="22"/>
        <v>#NUM!</v>
      </c>
      <c r="D52" t="e">
        <f t="shared" si="23"/>
        <v>#NUM!</v>
      </c>
      <c r="E52">
        <f t="shared" si="24"/>
        <v>65.666666666666671</v>
      </c>
      <c r="F52">
        <f t="shared" si="25"/>
        <v>2305.1800873083866</v>
      </c>
      <c r="G52">
        <f t="shared" si="26"/>
        <v>1728.88506548129</v>
      </c>
      <c r="H52" t="e">
        <f t="shared" si="27"/>
        <v>#NUM!</v>
      </c>
      <c r="I52">
        <f t="shared" si="28"/>
        <v>1440.7375545677417</v>
      </c>
      <c r="J52">
        <f t="shared" si="29"/>
        <v>1389.4825576981157</v>
      </c>
      <c r="K52" t="e">
        <f t="shared" si="30"/>
        <v>#NUM!</v>
      </c>
      <c r="L52" t="e">
        <f t="shared" si="34"/>
        <v>#NUM!</v>
      </c>
      <c r="M52" t="e">
        <f t="shared" si="31"/>
        <v>#NUM!</v>
      </c>
      <c r="N52" t="e">
        <f t="shared" si="14"/>
        <v>#NUM!</v>
      </c>
      <c r="O52" t="e">
        <f t="shared" si="15"/>
        <v>#NUM!</v>
      </c>
      <c r="P52" t="e">
        <f t="shared" si="16"/>
        <v>#NUM!</v>
      </c>
      <c r="Q52" t="e">
        <f t="shared" si="17"/>
        <v>#NUM!</v>
      </c>
      <c r="R52" t="e">
        <f t="shared" si="18"/>
        <v>#NUM!</v>
      </c>
      <c r="S52">
        <v>50</v>
      </c>
      <c r="AD52">
        <f t="shared" si="32"/>
        <v>0.26844391517750948</v>
      </c>
      <c r="AE52">
        <f t="shared" si="33"/>
        <v>-0.70560373717043445</v>
      </c>
    </row>
    <row r="53" spans="1:31" x14ac:dyDescent="0.3">
      <c r="A53">
        <v>0.8</v>
      </c>
      <c r="B53" t="e">
        <f t="shared" si="21"/>
        <v>#NUM!</v>
      </c>
      <c r="C53" t="e">
        <f t="shared" si="22"/>
        <v>#NUM!</v>
      </c>
      <c r="D53" t="e">
        <f t="shared" si="23"/>
        <v>#NUM!</v>
      </c>
      <c r="E53">
        <f t="shared" si="24"/>
        <v>61.5</v>
      </c>
      <c r="F53">
        <f t="shared" si="25"/>
        <v>2283.7086373361776</v>
      </c>
      <c r="G53">
        <f t="shared" si="26"/>
        <v>1712.7814780021331</v>
      </c>
      <c r="H53" t="e">
        <f t="shared" si="27"/>
        <v>#NUM!</v>
      </c>
      <c r="I53">
        <f t="shared" si="28"/>
        <v>1427.3178983351111</v>
      </c>
      <c r="J53">
        <f t="shared" si="29"/>
        <v>1221.2249042268593</v>
      </c>
      <c r="K53" t="e">
        <f t="shared" si="30"/>
        <v>#NUM!</v>
      </c>
      <c r="L53" t="e">
        <f t="shared" si="34"/>
        <v>#NUM!</v>
      </c>
      <c r="M53" t="e">
        <f t="shared" si="31"/>
        <v>#NUM!</v>
      </c>
      <c r="N53" t="e">
        <f t="shared" si="14"/>
        <v>#NUM!</v>
      </c>
      <c r="O53" t="e">
        <f t="shared" si="15"/>
        <v>#NUM!</v>
      </c>
      <c r="P53" t="e">
        <f t="shared" si="16"/>
        <v>#NUM!</v>
      </c>
      <c r="Q53" t="e">
        <f t="shared" si="17"/>
        <v>#NUM!</v>
      </c>
      <c r="R53" t="e">
        <f t="shared" si="18"/>
        <v>#NUM!</v>
      </c>
      <c r="S53">
        <v>50</v>
      </c>
      <c r="AD53">
        <f t="shared" si="32"/>
        <v>0.33437962303050411</v>
      </c>
      <c r="AE53">
        <f t="shared" si="33"/>
        <v>-0.76475970224773415</v>
      </c>
    </row>
    <row r="54" spans="1:31" x14ac:dyDescent="0.3">
      <c r="A54">
        <v>0.85</v>
      </c>
      <c r="B54" t="e">
        <f t="shared" si="21"/>
        <v>#NUM!</v>
      </c>
      <c r="C54" t="e">
        <f t="shared" si="22"/>
        <v>#NUM!</v>
      </c>
      <c r="D54" t="e">
        <f t="shared" si="23"/>
        <v>#NUM!</v>
      </c>
      <c r="E54">
        <f t="shared" si="24"/>
        <v>57.82352941176471</v>
      </c>
      <c r="F54">
        <f t="shared" si="25"/>
        <v>2263.7215141384872</v>
      </c>
      <c r="G54">
        <f t="shared" si="26"/>
        <v>1697.7911356038653</v>
      </c>
      <c r="H54" t="e">
        <f t="shared" si="27"/>
        <v>#NUM!</v>
      </c>
      <c r="I54">
        <f t="shared" si="28"/>
        <v>1414.8259463365546</v>
      </c>
      <c r="J54">
        <f t="shared" si="29"/>
        <v>1081.7770777926505</v>
      </c>
      <c r="K54" t="e">
        <f t="shared" si="30"/>
        <v>#NUM!</v>
      </c>
      <c r="L54" t="e">
        <f t="shared" si="34"/>
        <v>#NUM!</v>
      </c>
      <c r="M54" t="e">
        <f t="shared" si="31"/>
        <v>#NUM!</v>
      </c>
      <c r="N54" t="e">
        <f t="shared" si="14"/>
        <v>#NUM!</v>
      </c>
      <c r="O54" t="e">
        <f t="shared" si="15"/>
        <v>#NUM!</v>
      </c>
      <c r="P54" t="e">
        <f t="shared" si="16"/>
        <v>#NUM!</v>
      </c>
      <c r="Q54" t="e">
        <f t="shared" si="17"/>
        <v>#NUM!</v>
      </c>
      <c r="R54" t="e">
        <f t="shared" si="18"/>
        <v>#NUM!</v>
      </c>
      <c r="S54">
        <v>50</v>
      </c>
      <c r="AD54">
        <f t="shared" si="32"/>
        <v>0.40393599817417336</v>
      </c>
      <c r="AE54">
        <f t="shared" si="33"/>
        <v>-0.81773970664029416</v>
      </c>
    </row>
    <row r="55" spans="1:31" x14ac:dyDescent="0.3">
      <c r="A55">
        <v>0.9</v>
      </c>
      <c r="B55" t="e">
        <f t="shared" si="21"/>
        <v>#NUM!</v>
      </c>
      <c r="C55" t="e">
        <f t="shared" si="22"/>
        <v>#NUM!</v>
      </c>
      <c r="D55" t="e">
        <f t="shared" si="23"/>
        <v>#NUM!</v>
      </c>
      <c r="E55">
        <f t="shared" si="24"/>
        <v>54.555555555555557</v>
      </c>
      <c r="F55">
        <f t="shared" si="25"/>
        <v>2245.0373917999523</v>
      </c>
      <c r="G55">
        <f t="shared" si="26"/>
        <v>1683.7780438499642</v>
      </c>
      <c r="H55" t="e">
        <f t="shared" si="27"/>
        <v>#NUM!</v>
      </c>
      <c r="I55">
        <f t="shared" si="28"/>
        <v>1403.1483698749703</v>
      </c>
      <c r="J55">
        <f t="shared" si="29"/>
        <v>964.91844284591355</v>
      </c>
      <c r="K55" t="e">
        <f t="shared" si="30"/>
        <v>#NUM!</v>
      </c>
      <c r="L55" t="e">
        <f t="shared" si="34"/>
        <v>#NUM!</v>
      </c>
      <c r="M55" t="e">
        <f t="shared" si="31"/>
        <v>#NUM!</v>
      </c>
      <c r="N55" t="e">
        <f t="shared" si="14"/>
        <v>#NUM!</v>
      </c>
      <c r="O55" t="e">
        <f t="shared" si="15"/>
        <v>#NUM!</v>
      </c>
      <c r="P55" t="e">
        <f t="shared" si="16"/>
        <v>#NUM!</v>
      </c>
      <c r="Q55" t="e">
        <f t="shared" si="17"/>
        <v>#NUM!</v>
      </c>
      <c r="R55" t="e">
        <f t="shared" si="18"/>
        <v>#NUM!</v>
      </c>
      <c r="S55">
        <v>50</v>
      </c>
      <c r="AD55">
        <f t="shared" si="32"/>
        <v>0.47708133017778637</v>
      </c>
      <c r="AE55">
        <f t="shared" si="33"/>
        <v>-0.86301539966247331</v>
      </c>
    </row>
    <row r="56" spans="1:31" x14ac:dyDescent="0.3">
      <c r="A56">
        <v>0.95</v>
      </c>
      <c r="B56" t="e">
        <f t="shared" si="21"/>
        <v>#NUM!</v>
      </c>
      <c r="C56" t="e">
        <f t="shared" si="22"/>
        <v>#NUM!</v>
      </c>
      <c r="D56" t="e">
        <f t="shared" si="23"/>
        <v>#NUM!</v>
      </c>
      <c r="E56">
        <f t="shared" si="24"/>
        <v>51.631578947368425</v>
      </c>
      <c r="F56">
        <f t="shared" si="25"/>
        <v>2227.5056783472901</v>
      </c>
      <c r="G56">
        <f t="shared" si="26"/>
        <v>1670.6292587604676</v>
      </c>
      <c r="H56" t="e">
        <f t="shared" si="27"/>
        <v>#NUM!</v>
      </c>
      <c r="I56">
        <f t="shared" si="28"/>
        <v>1392.1910489670563</v>
      </c>
      <c r="J56">
        <f t="shared" si="29"/>
        <v>866.02098471489205</v>
      </c>
      <c r="K56" t="e">
        <f t="shared" si="30"/>
        <v>#NUM!</v>
      </c>
      <c r="L56" t="e">
        <f t="shared" si="34"/>
        <v>#NUM!</v>
      </c>
      <c r="M56" t="e">
        <f t="shared" si="31"/>
        <v>#NUM!</v>
      </c>
      <c r="N56" t="e">
        <f t="shared" si="14"/>
        <v>#NUM!</v>
      </c>
      <c r="O56" t="e">
        <f t="shared" si="15"/>
        <v>#NUM!</v>
      </c>
      <c r="P56" t="e">
        <f t="shared" si="16"/>
        <v>#NUM!</v>
      </c>
      <c r="Q56" t="e">
        <f t="shared" si="17"/>
        <v>#NUM!</v>
      </c>
      <c r="R56" t="e">
        <f t="shared" si="18"/>
        <v>#NUM!</v>
      </c>
      <c r="S56">
        <v>50</v>
      </c>
      <c r="AD56">
        <f t="shared" si="32"/>
        <v>0.55378597836482435</v>
      </c>
      <c r="AE56">
        <f t="shared" si="33"/>
        <v>-0.89900005771375091</v>
      </c>
    </row>
    <row r="57" spans="1:31" x14ac:dyDescent="0.3">
      <c r="A57">
        <v>1</v>
      </c>
      <c r="B57" t="e">
        <f t="shared" si="21"/>
        <v>#NUM!</v>
      </c>
      <c r="C57" t="e">
        <f t="shared" si="22"/>
        <v>#NUM!</v>
      </c>
      <c r="D57" t="e">
        <f t="shared" si="23"/>
        <v>#NUM!</v>
      </c>
      <c r="E57">
        <f t="shared" si="24"/>
        <v>49</v>
      </c>
      <c r="F57">
        <f t="shared" si="25"/>
        <v>2211</v>
      </c>
      <c r="G57">
        <f t="shared" si="26"/>
        <v>1658.25</v>
      </c>
      <c r="H57" t="e">
        <f t="shared" si="27"/>
        <v>#NUM!</v>
      </c>
      <c r="I57">
        <f t="shared" si="28"/>
        <v>1381.875</v>
      </c>
      <c r="J57">
        <f t="shared" si="29"/>
        <v>781.58393870519001</v>
      </c>
      <c r="K57" t="e">
        <f t="shared" si="30"/>
        <v>#NUM!</v>
      </c>
      <c r="L57" t="e">
        <f t="shared" si="34"/>
        <v>#NUM!</v>
      </c>
      <c r="M57" t="e">
        <f t="shared" si="31"/>
        <v>#NUM!</v>
      </c>
      <c r="N57" t="e">
        <f t="shared" si="14"/>
        <v>#NUM!</v>
      </c>
      <c r="O57" t="e">
        <f t="shared" si="15"/>
        <v>#NUM!</v>
      </c>
      <c r="P57" t="e">
        <f t="shared" si="16"/>
        <v>#NUM!</v>
      </c>
      <c r="Q57" t="e">
        <f t="shared" si="17"/>
        <v>#NUM!</v>
      </c>
      <c r="R57" t="e">
        <f t="shared" si="18"/>
        <v>#NUM!</v>
      </c>
      <c r="S57">
        <v>50</v>
      </c>
      <c r="AD57">
        <f t="shared" si="32"/>
        <v>0.63402213221607473</v>
      </c>
      <c r="AE57">
        <f t="shared" si="33"/>
        <v>-0.92404913418429446</v>
      </c>
    </row>
    <row r="58" spans="1:31" x14ac:dyDescent="0.3">
      <c r="A58">
        <v>1.05</v>
      </c>
      <c r="B58" t="e">
        <f t="shared" si="21"/>
        <v>#NUM!</v>
      </c>
      <c r="C58" t="e">
        <f t="shared" si="22"/>
        <v>#NUM!</v>
      </c>
      <c r="D58" t="e">
        <f t="shared" si="23"/>
        <v>#NUM!</v>
      </c>
      <c r="E58">
        <f t="shared" si="24"/>
        <v>46.61904761904762</v>
      </c>
      <c r="F58">
        <f t="shared" si="25"/>
        <v>2195.4133168969679</v>
      </c>
      <c r="G58">
        <f t="shared" si="26"/>
        <v>1646.559987672726</v>
      </c>
      <c r="H58" t="e">
        <f t="shared" si="27"/>
        <v>#NUM!</v>
      </c>
      <c r="I58">
        <f t="shared" si="28"/>
        <v>1372.1333230606051</v>
      </c>
      <c r="J58">
        <f t="shared" si="29"/>
        <v>708.91967229495697</v>
      </c>
      <c r="K58" t="e">
        <f t="shared" si="30"/>
        <v>#NUM!</v>
      </c>
      <c r="L58" t="e">
        <f t="shared" si="34"/>
        <v>#NUM!</v>
      </c>
      <c r="M58" t="e">
        <f t="shared" si="31"/>
        <v>#NUM!</v>
      </c>
      <c r="N58" t="e">
        <f t="shared" si="14"/>
        <v>#NUM!</v>
      </c>
      <c r="O58" t="e">
        <f t="shared" si="15"/>
        <v>#NUM!</v>
      </c>
      <c r="P58" t="e">
        <f t="shared" si="16"/>
        <v>#NUM!</v>
      </c>
      <c r="Q58" t="e">
        <f t="shared" si="17"/>
        <v>#NUM!</v>
      </c>
      <c r="R58" t="e">
        <f t="shared" si="18"/>
        <v>#NUM!</v>
      </c>
      <c r="S58">
        <v>50</v>
      </c>
      <c r="AD58">
        <f t="shared" si="32"/>
        <v>0.71776361038102776</v>
      </c>
      <c r="AE58">
        <f t="shared" si="33"/>
        <v>-0.93646081518433366</v>
      </c>
    </row>
    <row r="59" spans="1:31" x14ac:dyDescent="0.3">
      <c r="A59">
        <v>1.1000000000000001</v>
      </c>
      <c r="B59" t="e">
        <f t="shared" si="21"/>
        <v>#NUM!</v>
      </c>
      <c r="C59" t="e">
        <f t="shared" si="22"/>
        <v>#NUM!</v>
      </c>
      <c r="D59" t="e">
        <f t="shared" si="23"/>
        <v>#NUM!</v>
      </c>
      <c r="E59">
        <f t="shared" si="24"/>
        <v>44.454545454545453</v>
      </c>
      <c r="F59">
        <f t="shared" si="25"/>
        <v>2180.6542049677182</v>
      </c>
      <c r="G59">
        <f t="shared" si="26"/>
        <v>1635.4906537257887</v>
      </c>
      <c r="H59" t="e">
        <f t="shared" si="27"/>
        <v>#NUM!</v>
      </c>
      <c r="I59">
        <f t="shared" si="28"/>
        <v>1362.908878104824</v>
      </c>
      <c r="J59">
        <f t="shared" si="29"/>
        <v>645.93713942577676</v>
      </c>
      <c r="K59" t="e">
        <f t="shared" si="30"/>
        <v>#NUM!</v>
      </c>
      <c r="L59" t="e">
        <f t="shared" si="34"/>
        <v>#NUM!</v>
      </c>
      <c r="M59" t="e">
        <f t="shared" si="31"/>
        <v>#NUM!</v>
      </c>
      <c r="N59" t="e">
        <f t="shared" si="14"/>
        <v>#NUM!</v>
      </c>
      <c r="O59" t="e">
        <f t="shared" si="15"/>
        <v>#NUM!</v>
      </c>
      <c r="P59" t="e">
        <f t="shared" si="16"/>
        <v>#NUM!</v>
      </c>
      <c r="Q59" t="e">
        <f t="shared" si="17"/>
        <v>#NUM!</v>
      </c>
      <c r="R59" t="e">
        <f t="shared" si="18"/>
        <v>#NUM!</v>
      </c>
      <c r="S59">
        <v>50</v>
      </c>
      <c r="AD59">
        <f t="shared" si="32"/>
        <v>0.80498569049336488</v>
      </c>
      <c r="AE59">
        <f t="shared" si="33"/>
        <v>-0.93447657384096783</v>
      </c>
    </row>
    <row r="60" spans="1:31" x14ac:dyDescent="0.3">
      <c r="A60">
        <v>1.1499999999999999</v>
      </c>
      <c r="B60" t="e">
        <f t="shared" si="21"/>
        <v>#NUM!</v>
      </c>
      <c r="C60" t="e">
        <f t="shared" si="22"/>
        <v>#NUM!</v>
      </c>
      <c r="D60" t="e">
        <f t="shared" si="23"/>
        <v>#NUM!</v>
      </c>
      <c r="E60">
        <f t="shared" si="24"/>
        <v>42.478260869565219</v>
      </c>
      <c r="F60">
        <f t="shared" si="25"/>
        <v>2166.6439861131407</v>
      </c>
      <c r="G60">
        <f t="shared" si="26"/>
        <v>1624.9829895848557</v>
      </c>
      <c r="H60" t="e">
        <f t="shared" si="27"/>
        <v>#NUM!</v>
      </c>
      <c r="I60">
        <f t="shared" si="28"/>
        <v>1354.1524913207131</v>
      </c>
      <c r="J60">
        <f t="shared" si="29"/>
        <v>590.98974571280917</v>
      </c>
      <c r="K60" t="e">
        <f t="shared" si="30"/>
        <v>#NUM!</v>
      </c>
      <c r="L60" t="e">
        <f t="shared" si="34"/>
        <v>#NUM!</v>
      </c>
      <c r="M60" t="e">
        <f t="shared" si="31"/>
        <v>#NUM!</v>
      </c>
      <c r="N60" t="e">
        <f t="shared" si="14"/>
        <v>#NUM!</v>
      </c>
      <c r="O60" t="e">
        <f t="shared" si="15"/>
        <v>#NUM!</v>
      </c>
      <c r="P60" t="e">
        <f t="shared" si="16"/>
        <v>#NUM!</v>
      </c>
      <c r="Q60" t="e">
        <f t="shared" si="17"/>
        <v>#NUM!</v>
      </c>
      <c r="R60" t="e">
        <f t="shared" si="18"/>
        <v>#NUM!</v>
      </c>
      <c r="S60">
        <v>50</v>
      </c>
      <c r="AD60">
        <f t="shared" si="32"/>
        <v>0.89566496385434924</v>
      </c>
      <c r="AE60">
        <f t="shared" si="33"/>
        <v>-0.91628171830531113</v>
      </c>
    </row>
    <row r="61" spans="1:31" x14ac:dyDescent="0.3">
      <c r="A61">
        <v>1.2</v>
      </c>
      <c r="B61" t="e">
        <f t="shared" si="21"/>
        <v>#NUM!</v>
      </c>
      <c r="C61" t="e">
        <f t="shared" si="22"/>
        <v>#NUM!</v>
      </c>
      <c r="D61" t="e">
        <f t="shared" si="23"/>
        <v>#NUM!</v>
      </c>
      <c r="E61">
        <f t="shared" si="24"/>
        <v>40.666666666666671</v>
      </c>
      <c r="F61">
        <f t="shared" si="25"/>
        <v>2153.3144853188387</v>
      </c>
      <c r="G61">
        <f t="shared" si="26"/>
        <v>1614.985863989129</v>
      </c>
      <c r="H61" t="e">
        <f t="shared" si="27"/>
        <v>#NUM!</v>
      </c>
      <c r="I61">
        <f t="shared" si="28"/>
        <v>1345.8215533242742</v>
      </c>
      <c r="J61">
        <f t="shared" si="29"/>
        <v>542.76662410082633</v>
      </c>
      <c r="K61" t="e">
        <f t="shared" si="30"/>
        <v>#NUM!</v>
      </c>
      <c r="L61" t="e">
        <f t="shared" si="34"/>
        <v>#NUM!</v>
      </c>
      <c r="M61" t="e">
        <f t="shared" si="31"/>
        <v>#NUM!</v>
      </c>
      <c r="N61" t="e">
        <f t="shared" si="14"/>
        <v>#NUM!</v>
      </c>
      <c r="O61" t="e">
        <f t="shared" si="15"/>
        <v>#NUM!</v>
      </c>
      <c r="P61" t="e">
        <f t="shared" si="16"/>
        <v>#NUM!</v>
      </c>
      <c r="Q61" t="e">
        <f t="shared" si="17"/>
        <v>#NUM!</v>
      </c>
      <c r="R61" t="e">
        <f t="shared" si="18"/>
        <v>#NUM!</v>
      </c>
      <c r="S61">
        <v>50</v>
      </c>
      <c r="AD61">
        <f t="shared" si="32"/>
        <v>0.9897792104054185</v>
      </c>
      <c r="AE61">
        <f t="shared" si="33"/>
        <v>-0.88000593025735407</v>
      </c>
    </row>
    <row r="62" spans="1:31" x14ac:dyDescent="0.3">
      <c r="A62">
        <v>1.25</v>
      </c>
      <c r="B62" t="e">
        <f t="shared" si="21"/>
        <v>#NUM!</v>
      </c>
      <c r="C62" t="e">
        <f t="shared" si="22"/>
        <v>#NUM!</v>
      </c>
      <c r="D62" t="e">
        <f t="shared" si="23"/>
        <v>#NUM!</v>
      </c>
      <c r="E62">
        <f t="shared" si="24"/>
        <v>39</v>
      </c>
      <c r="F62">
        <f t="shared" si="25"/>
        <v>2140.6062577677135</v>
      </c>
      <c r="G62">
        <f t="shared" si="26"/>
        <v>1605.4546933257852</v>
      </c>
      <c r="H62" t="e">
        <f t="shared" si="27"/>
        <v>#NUM!</v>
      </c>
      <c r="I62">
        <f t="shared" si="28"/>
        <v>1337.8789111048211</v>
      </c>
      <c r="J62">
        <f t="shared" si="29"/>
        <v>500.21372077132156</v>
      </c>
      <c r="K62" t="e">
        <f t="shared" si="30"/>
        <v>#NUM!</v>
      </c>
      <c r="L62" t="e">
        <f t="shared" si="34"/>
        <v>#NUM!</v>
      </c>
      <c r="M62" t="e">
        <f t="shared" si="31"/>
        <v>#NUM!</v>
      </c>
      <c r="N62" t="e">
        <f t="shared" si="14"/>
        <v>#NUM!</v>
      </c>
      <c r="O62" t="e">
        <f t="shared" si="15"/>
        <v>#NUM!</v>
      </c>
      <c r="P62" t="e">
        <f t="shared" si="16"/>
        <v>#NUM!</v>
      </c>
      <c r="Q62" t="e">
        <f t="shared" si="17"/>
        <v>#NUM!</v>
      </c>
      <c r="R62" t="e">
        <f t="shared" si="18"/>
        <v>#NUM!</v>
      </c>
      <c r="S62">
        <v>50</v>
      </c>
      <c r="AD62">
        <f t="shared" si="32"/>
        <v>1.0873072904136187</v>
      </c>
      <c r="AE62">
        <f t="shared" si="33"/>
        <v>-0.82372379183382272</v>
      </c>
    </row>
    <row r="63" spans="1:31" x14ac:dyDescent="0.3">
      <c r="A63">
        <v>1.3</v>
      </c>
      <c r="B63" t="e">
        <f t="shared" si="21"/>
        <v>#NUM!</v>
      </c>
      <c r="C63" t="e">
        <f t="shared" si="22"/>
        <v>#NUM!</v>
      </c>
      <c r="D63" t="e">
        <f t="shared" si="23"/>
        <v>#NUM!</v>
      </c>
      <c r="E63">
        <f t="shared" si="24"/>
        <v>37.46153846153846</v>
      </c>
      <c r="F63">
        <f t="shared" si="25"/>
        <v>2128.4671729115757</v>
      </c>
      <c r="G63">
        <f t="shared" si="26"/>
        <v>1596.3503796836817</v>
      </c>
      <c r="H63" t="e">
        <f t="shared" si="27"/>
        <v>#NUM!</v>
      </c>
      <c r="I63">
        <f t="shared" si="28"/>
        <v>1330.2919830697349</v>
      </c>
      <c r="J63">
        <f t="shared" si="29"/>
        <v>462.47570337585205</v>
      </c>
      <c r="K63" t="e">
        <f t="shared" si="30"/>
        <v>#NUM!</v>
      </c>
      <c r="L63" t="e">
        <f t="shared" si="34"/>
        <v>#NUM!</v>
      </c>
      <c r="M63" t="e">
        <f t="shared" si="31"/>
        <v>#NUM!</v>
      </c>
      <c r="N63" t="e">
        <f t="shared" si="14"/>
        <v>#NUM!</v>
      </c>
      <c r="O63" t="e">
        <f t="shared" si="15"/>
        <v>#NUM!</v>
      </c>
      <c r="P63" t="e">
        <f t="shared" si="16"/>
        <v>#NUM!</v>
      </c>
      <c r="Q63" t="e">
        <f t="shared" si="17"/>
        <v>#NUM!</v>
      </c>
      <c r="R63" t="e">
        <f t="shared" si="18"/>
        <v>#NUM!</v>
      </c>
      <c r="S63">
        <v>50</v>
      </c>
      <c r="AD63">
        <f t="shared" si="32"/>
        <v>1.1882290500444002</v>
      </c>
      <c r="AE63">
        <f t="shared" si="33"/>
        <v>-0.74545529969718261</v>
      </c>
    </row>
    <row r="64" spans="1:31" x14ac:dyDescent="0.3">
      <c r="A64">
        <v>1.35</v>
      </c>
      <c r="B64" t="e">
        <f t="shared" si="21"/>
        <v>#NUM!</v>
      </c>
      <c r="C64" t="e">
        <f t="shared" si="22"/>
        <v>#NUM!</v>
      </c>
      <c r="D64" t="e">
        <f t="shared" si="23"/>
        <v>#NUM!</v>
      </c>
      <c r="E64">
        <f t="shared" si="24"/>
        <v>36.037037037037038</v>
      </c>
      <c r="F64">
        <f t="shared" si="25"/>
        <v>2116.8512728857468</v>
      </c>
      <c r="G64">
        <f t="shared" si="26"/>
        <v>1587.6384546643101</v>
      </c>
      <c r="H64" t="e">
        <f t="shared" si="27"/>
        <v>#NUM!</v>
      </c>
      <c r="I64">
        <f t="shared" si="28"/>
        <v>1323.0320455535918</v>
      </c>
      <c r="J64">
        <f t="shared" si="29"/>
        <v>428.85264126485049</v>
      </c>
      <c r="K64" t="e">
        <f t="shared" si="30"/>
        <v>#NUM!</v>
      </c>
      <c r="L64" t="e">
        <f t="shared" si="34"/>
        <v>#NUM!</v>
      </c>
      <c r="M64" t="e">
        <f t="shared" si="31"/>
        <v>#NUM!</v>
      </c>
      <c r="N64" t="e">
        <f t="shared" si="14"/>
        <v>#NUM!</v>
      </c>
      <c r="O64" t="e">
        <f t="shared" si="15"/>
        <v>#NUM!</v>
      </c>
      <c r="P64" t="e">
        <f t="shared" si="16"/>
        <v>#NUM!</v>
      </c>
      <c r="Q64" t="e">
        <f t="shared" si="17"/>
        <v>#NUM!</v>
      </c>
      <c r="R64" t="e">
        <f t="shared" si="18"/>
        <v>#NUM!</v>
      </c>
      <c r="S64">
        <v>50</v>
      </c>
      <c r="AD64">
        <f t="shared" si="32"/>
        <v>1.2925252385661707</v>
      </c>
      <c r="AE64">
        <f t="shared" si="33"/>
        <v>-0.64316636551871942</v>
      </c>
    </row>
    <row r="65" spans="1:31" x14ac:dyDescent="0.3">
      <c r="A65">
        <v>1.4</v>
      </c>
      <c r="B65" t="e">
        <f t="shared" si="21"/>
        <v>#NUM!</v>
      </c>
      <c r="C65" t="e">
        <f t="shared" si="22"/>
        <v>#NUM!</v>
      </c>
      <c r="D65" t="e">
        <f t="shared" si="23"/>
        <v>#NUM!</v>
      </c>
      <c r="E65">
        <f t="shared" si="24"/>
        <v>34.714285714285715</v>
      </c>
      <c r="F65">
        <f t="shared" si="25"/>
        <v>2105.7178440782791</v>
      </c>
      <c r="G65">
        <f t="shared" si="26"/>
        <v>1579.2883830587093</v>
      </c>
      <c r="H65" t="e">
        <f t="shared" si="27"/>
        <v>#NUM!</v>
      </c>
      <c r="I65">
        <f t="shared" si="28"/>
        <v>1316.0736525489244</v>
      </c>
      <c r="J65">
        <f t="shared" si="29"/>
        <v>398.76731566591326</v>
      </c>
      <c r="K65" t="e">
        <f t="shared" si="30"/>
        <v>#NUM!</v>
      </c>
      <c r="L65" t="e">
        <f t="shared" si="34"/>
        <v>#NUM!</v>
      </c>
      <c r="M65" t="e">
        <f t="shared" si="31"/>
        <v>#NUM!</v>
      </c>
      <c r="N65" t="e">
        <f t="shared" si="14"/>
        <v>#NUM!</v>
      </c>
      <c r="O65" t="e">
        <f t="shared" si="15"/>
        <v>#NUM!</v>
      </c>
      <c r="P65" t="e">
        <f t="shared" si="16"/>
        <v>#NUM!</v>
      </c>
      <c r="Q65" t="e">
        <f t="shared" si="17"/>
        <v>#NUM!</v>
      </c>
      <c r="R65" t="e">
        <f t="shared" si="18"/>
        <v>#NUM!</v>
      </c>
      <c r="S65">
        <v>50</v>
      </c>
      <c r="AD65">
        <f t="shared" si="32"/>
        <v>1.4001774353687617</v>
      </c>
      <c r="AE65">
        <f t="shared" si="33"/>
        <v>-0.51476930253729969</v>
      </c>
    </row>
    <row r="66" spans="1:31" x14ac:dyDescent="0.3">
      <c r="A66">
        <v>1.45</v>
      </c>
      <c r="B66" t="e">
        <f t="shared" si="21"/>
        <v>#NUM!</v>
      </c>
      <c r="C66" t="e">
        <f t="shared" si="22"/>
        <v>#NUM!</v>
      </c>
      <c r="D66" t="e">
        <f t="shared" si="23"/>
        <v>#NUM!</v>
      </c>
      <c r="E66">
        <f t="shared" si="24"/>
        <v>33.482758620689658</v>
      </c>
      <c r="F66">
        <f t="shared" si="25"/>
        <v>2095.0306559790447</v>
      </c>
      <c r="G66">
        <f t="shared" si="26"/>
        <v>1571.2729919842836</v>
      </c>
      <c r="H66" t="e">
        <f t="shared" si="27"/>
        <v>#NUM!</v>
      </c>
      <c r="I66">
        <f t="shared" si="28"/>
        <v>1309.3941599869031</v>
      </c>
      <c r="J66">
        <f t="shared" si="29"/>
        <v>371.74028000246852</v>
      </c>
      <c r="K66" t="e">
        <f t="shared" si="30"/>
        <v>#NUM!</v>
      </c>
      <c r="L66" t="e">
        <f t="shared" si="34"/>
        <v>#NUM!</v>
      </c>
      <c r="M66" t="e">
        <f t="shared" si="31"/>
        <v>#NUM!</v>
      </c>
      <c r="N66" t="e">
        <f t="shared" si="14"/>
        <v>#NUM!</v>
      </c>
      <c r="O66" t="e">
        <f t="shared" si="15"/>
        <v>#NUM!</v>
      </c>
      <c r="P66" t="e">
        <f t="shared" si="16"/>
        <v>#NUM!</v>
      </c>
      <c r="Q66" t="e">
        <f t="shared" si="17"/>
        <v>#NUM!</v>
      </c>
      <c r="R66" t="e">
        <f t="shared" si="18"/>
        <v>#NUM!</v>
      </c>
      <c r="S66">
        <v>50</v>
      </c>
      <c r="AD66">
        <f t="shared" si="32"/>
        <v>1.5111679853178788</v>
      </c>
      <c r="AE66">
        <f t="shared" si="33"/>
        <v>-0.35812329812712118</v>
      </c>
    </row>
    <row r="67" spans="1:31" x14ac:dyDescent="0.3">
      <c r="A67">
        <v>1.5</v>
      </c>
      <c r="B67" t="e">
        <f t="shared" si="21"/>
        <v>#NUM!</v>
      </c>
      <c r="C67" t="e">
        <f t="shared" si="22"/>
        <v>#NUM!</v>
      </c>
      <c r="D67" t="e">
        <f t="shared" si="23"/>
        <v>#NUM!</v>
      </c>
      <c r="E67">
        <f t="shared" si="24"/>
        <v>32.333333333333336</v>
      </c>
      <c r="F67">
        <f t="shared" si="25"/>
        <v>2084.7573325261737</v>
      </c>
      <c r="G67">
        <f t="shared" si="26"/>
        <v>1563.5679993946303</v>
      </c>
      <c r="H67" t="e">
        <f t="shared" si="27"/>
        <v>#NUM!</v>
      </c>
      <c r="I67">
        <f t="shared" si="28"/>
        <v>1302.9733328288587</v>
      </c>
      <c r="J67">
        <f t="shared" si="29"/>
        <v>347.37063942452892</v>
      </c>
      <c r="K67" t="e">
        <f t="shared" si="30"/>
        <v>#NUM!</v>
      </c>
      <c r="L67" t="e">
        <f t="shared" si="34"/>
        <v>#NUM!</v>
      </c>
      <c r="M67" t="e">
        <f t="shared" si="31"/>
        <v>#NUM!</v>
      </c>
      <c r="N67" t="e">
        <f t="shared" ref="N67:N68" si="35">53.378/L67</f>
        <v>#NUM!</v>
      </c>
      <c r="O67" t="e">
        <f t="shared" ref="O67:O68" si="36">120.1/L67</f>
        <v>#NUM!</v>
      </c>
      <c r="P67" t="e">
        <f t="shared" ref="P67:P68" si="37">177.9/L67</f>
        <v>#NUM!</v>
      </c>
      <c r="Q67" t="e">
        <f t="shared" ref="Q67:Q68" si="38">217.96/L67</f>
        <v>#NUM!</v>
      </c>
      <c r="R67" t="e">
        <f t="shared" ref="R67:R68" si="39">266.9/L67</f>
        <v>#NUM!</v>
      </c>
      <c r="S67">
        <v>50</v>
      </c>
      <c r="AD67">
        <f t="shared" si="32"/>
        <v>1.6254799412342791</v>
      </c>
      <c r="AE67">
        <f t="shared" si="33"/>
        <v>-0.17103487249642324</v>
      </c>
    </row>
    <row r="68" spans="1:31" x14ac:dyDescent="0.3">
      <c r="A68">
        <v>1.55</v>
      </c>
      <c r="B68">
        <f t="shared" si="21"/>
        <v>3.0440018847773085</v>
      </c>
      <c r="C68">
        <f t="shared" si="22"/>
        <v>1.9638721837272959</v>
      </c>
      <c r="D68">
        <f t="shared" si="23"/>
        <v>4.5940018847773088</v>
      </c>
      <c r="E68">
        <f t="shared" si="24"/>
        <v>31.258064516129032</v>
      </c>
      <c r="F68">
        <f t="shared" si="25"/>
        <v>2074.8688293019718</v>
      </c>
      <c r="G68">
        <f t="shared" si="26"/>
        <v>1556.151621976479</v>
      </c>
      <c r="H68">
        <f t="shared" si="27"/>
        <v>2.0297624550236999</v>
      </c>
      <c r="I68">
        <f t="shared" si="28"/>
        <v>1296.7930183137325</v>
      </c>
      <c r="J68">
        <f t="shared" si="29"/>
        <v>325.32109831641623</v>
      </c>
      <c r="K68">
        <f t="shared" si="30"/>
        <v>368.31275400000015</v>
      </c>
      <c r="L68">
        <f t="shared" si="34"/>
        <v>523.74506693063131</v>
      </c>
      <c r="M68">
        <f t="shared" si="31"/>
        <v>1.9638721837272957</v>
      </c>
      <c r="N68">
        <f t="shared" si="35"/>
        <v>0.10191599572062371</v>
      </c>
      <c r="O68">
        <f t="shared" si="36"/>
        <v>0.22931003570847366</v>
      </c>
      <c r="P68">
        <f t="shared" si="37"/>
        <v>0.33966907037916294</v>
      </c>
      <c r="Q68">
        <f t="shared" si="38"/>
        <v>0.41615666430490361</v>
      </c>
      <c r="R68">
        <f t="shared" si="39"/>
        <v>0.50959907186171205</v>
      </c>
      <c r="S68">
        <v>50</v>
      </c>
      <c r="AD68">
        <f t="shared" si="32"/>
        <v>1.7430970124975356</v>
      </c>
      <c r="AE68">
        <f t="shared" si="33"/>
        <v>4.8741676231530029E-2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Prasad</dc:creator>
  <cp:lastModifiedBy>Shashank Prasad</cp:lastModifiedBy>
  <dcterms:created xsi:type="dcterms:W3CDTF">2025-02-16T05:26:10Z</dcterms:created>
  <dcterms:modified xsi:type="dcterms:W3CDTF">2025-03-18T05:30:31Z</dcterms:modified>
</cp:coreProperties>
</file>